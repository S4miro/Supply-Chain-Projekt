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\"/>
    </mc:Choice>
  </mc:AlternateContent>
  <xr:revisionPtr revIDLastSave="0" documentId="13_ncr:1_{CF0AC429-CD20-49E2-A090-3BF130CEBAB2}" xr6:coauthVersionLast="47" xr6:coauthVersionMax="47" xr10:uidLastSave="{00000000-0000-0000-0000-000000000000}"/>
  <bookViews>
    <workbookView xWindow="-120" yWindow="-120" windowWidth="29040" windowHeight="15840" xr2:uid="{3C9FEAE1-8AB4-476A-84D8-D3ED8E4CB6EF}"/>
  </bookViews>
  <sheets>
    <sheet name="Leitfragen" sheetId="14" r:id="rId1"/>
    <sheet name="Zusammenfassung" sheetId="15" r:id="rId2"/>
    <sheet name="Datensatz" sheetId="1" r:id="rId3"/>
    <sheet name="Produkttypen-Analyse" sheetId="2" r:id="rId4"/>
    <sheet name="Produkttypen-Analyse2" sheetId="4" r:id="rId5"/>
    <sheet name="Produkttypen-Analyse3" sheetId="7" r:id="rId6"/>
    <sheet name="Carrier-Analyse" sheetId="5" r:id="rId7"/>
    <sheet name="Versand-Transport-Analyse" sheetId="11" r:id="rId8"/>
    <sheet name="Lieferanten-Analyse" sheetId="6" r:id="rId9"/>
    <sheet name="Lieferanten-Analyse2" sheetId="8" r:id="rId10"/>
    <sheet name="Lieferanten-Analyse3" sheetId="9" r:id="rId11"/>
  </sheets>
  <calcPr calcId="191029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<sst xmlns="http://schemas.openxmlformats.org/spreadsheetml/2006/main" count="1209" uniqueCount="339">
  <si>
    <t>Produkttyp</t>
  </si>
  <si>
    <t>Produktname</t>
  </si>
  <si>
    <t>Preis</t>
  </si>
  <si>
    <t>Verfügbarkeit</t>
  </si>
  <si>
    <t>Anzahl verkaufter Einheiten</t>
  </si>
  <si>
    <t>Umsatz der SKU</t>
  </si>
  <si>
    <t>Geschlechtsidentität</t>
  </si>
  <si>
    <t>Lagerbestand</t>
  </si>
  <si>
    <t>Vorlaufzeiten</t>
  </si>
  <si>
    <t>Bestellquantität</t>
  </si>
  <si>
    <t>Versanddauer</t>
  </si>
  <si>
    <t>Versanddienstleister</t>
  </si>
  <si>
    <t>Lieferant</t>
  </si>
  <si>
    <t>Standort</t>
  </si>
  <si>
    <t>Vorlaufzeit</t>
  </si>
  <si>
    <t>Produktionsmenge</t>
  </si>
  <si>
    <t>Herstellungszeit</t>
  </si>
  <si>
    <t>Herstellungskosten</t>
  </si>
  <si>
    <t>Ergebnis der Qualitätskontrolle</t>
  </si>
  <si>
    <t>Fehlerquote</t>
  </si>
  <si>
    <t>Transportmittel</t>
  </si>
  <si>
    <t>Route</t>
  </si>
  <si>
    <t>Kosten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</si>
  <si>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</si>
  <si>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</si>
  <si>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</si>
  <si>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</si>
  <si>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</si>
  <si>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</si>
  <si>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</si>
  <si>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</si>
  <si>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</si>
  <si>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</si>
  <si>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</si>
  <si>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</si>
  <si>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</si>
  <si>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</si>
  <si>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</si>
  <si>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</si>
  <si>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</si>
  <si>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</si>
  <si>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</si>
  <si>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</si>
  <si>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</si>
  <si>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</si>
  <si>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</si>
  <si>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</si>
  <si>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</si>
  <si>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</si>
  <si>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</si>
  <si>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</si>
  <si>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</si>
  <si>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</si>
  <si>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</si>
  <si>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</si>
  <si>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</si>
  <si>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</si>
  <si>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</si>
  <si>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</si>
  <si>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</si>
  <si>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</si>
  <si>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</si>
  <si>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</si>
  <si>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</si>
  <si>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</si>
  <si>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</si>
  <si>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</si>
  <si>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</si>
  <si>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</si>
  <si>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</si>
  <si>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</si>
  <si>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</si>
  <si>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</si>
  <si>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</si>
  <si>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</si>
  <si>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</si>
  <si>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</si>
  <si>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</si>
  <si>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</si>
  <si>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</si>
  <si>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</si>
  <si>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</si>
  <si>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</si>
  <si>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</si>
  <si>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</si>
  <si>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</si>
  <si>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</si>
  <si>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</si>
  <si>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</si>
  <si>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</si>
  <si>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</si>
  <si>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</si>
  <si>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</si>
  <si>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</si>
  <si>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</si>
  <si>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</si>
  <si>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</si>
  <si>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</si>
  <si>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</si>
  <si>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</si>
  <si>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</si>
  <si>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</si>
  <si>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</si>
  <si>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</si>
  <si>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</si>
  <si>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</si>
  <si>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</si>
  <si>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</si>
  <si>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</si>
  <si>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</si>
  <si>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</si>
  <si>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</si>
  <si>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</si>
  <si>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</si>
  <si>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</si>
  <si>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</si>
  <si>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</si>
  <si>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</si>
  <si>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</si>
  <si>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</si>
  <si>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</si>
  <si>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</si>
  <si>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</si>
  <si>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</si>
  <si>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</si>
  <si>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</si>
  <si>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</si>
  <si>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</si>
  <si>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</si>
  <si>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</si>
  <si>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</si>
  <si>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</si>
  <si>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</si>
  <si>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</si>
  <si>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</si>
  <si>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</si>
  <si>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</si>
  <si>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</si>
  <si>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</si>
  <si>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</si>
  <si>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</si>
  <si>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</si>
  <si>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</si>
  <si>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</si>
  <si>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</si>
  <si>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</si>
  <si>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</si>
  <si>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</si>
  <si>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</si>
  <si>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</si>
  <si>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</si>
  <si>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</si>
  <si>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</si>
  <si>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Zeilenbeschriftungen</t>
  </si>
  <si>
    <t>Gesamtergebnis</t>
  </si>
  <si>
    <t>Summe von Anzahl verkaufter Einheiten</t>
  </si>
  <si>
    <t>Prozentualer Anteil am Sortiment</t>
  </si>
  <si>
    <t>Prozentualer Anteil der Produkttypen an verkauften Einheiten</t>
  </si>
  <si>
    <t>Mittelwert von Versanddauer</t>
  </si>
  <si>
    <t>Mittelwert von Herstellungszeit</t>
  </si>
  <si>
    <t>Summe von Umsatz der SKU</t>
  </si>
  <si>
    <t>Mittelwert von Fehlerquote</t>
  </si>
  <si>
    <t>Summe von Produktionsmenge</t>
  </si>
  <si>
    <t>Mittelwert von Herstellungskosten</t>
  </si>
  <si>
    <t>Mittelwert von Versandkosten</t>
  </si>
  <si>
    <t>Versandkosten</t>
  </si>
  <si>
    <t>Handlungsempfehlungen:</t>
  </si>
  <si>
    <t>stichpunkte:</t>
  </si>
  <si>
    <t>skincare höchster Anteil mit 40% am Sortiment und ca.45% Anteil an verkauften Einheiten</t>
  </si>
  <si>
    <t>gefolgt von haircare mit 34% u. 29,53%</t>
  </si>
  <si>
    <t>cosmetics 26% und 25,5%</t>
  </si>
  <si>
    <t>Erkenntnis:</t>
  </si>
  <si>
    <t>Anazhl der Produkte hat Einfluss auf Anzahl erkaufter Einheiten</t>
  </si>
  <si>
    <t>Skincare wird überproportional gekauft im Vergleich zu den verkauften Einheiten</t>
  </si>
  <si>
    <t>haircare unterproportional</t>
  </si>
  <si>
    <t>cosmetics ungefähr proportional</t>
  </si>
  <si>
    <t>Einfluss von Marketing bei haircare testen</t>
  </si>
  <si>
    <t>skincare sortiment erhöhen</t>
  </si>
  <si>
    <t xml:space="preserve">cosmetics sortiment erhöhen </t>
  </si>
  <si>
    <t>ggf Produkte mit sehr geringen Anteil am Umsatz aus den Sortiment nehmen</t>
  </si>
  <si>
    <t>skincare höchster Anteil am Umsatz mi ca. 42%</t>
  </si>
  <si>
    <t>haircare 30%</t>
  </si>
  <si>
    <t>cosmetics 28%</t>
  </si>
  <si>
    <t>Leitfragen:</t>
  </si>
  <si>
    <t>Welche Produkttypen sind am beliebtesten?</t>
  </si>
  <si>
    <t>Welche Versandanbieter sind am effizientesten?</t>
  </si>
  <si>
    <t>Welche Lieferanten sind am effizientesten?</t>
  </si>
  <si>
    <t>Welche Länder sind am attraktivsten um zu produzieren?</t>
  </si>
  <si>
    <t>Analyse der Verkaufszahlen nach Produkttyp und Zielgruppe:</t>
  </si>
  <si>
    <t>Ziel: Muster erkennen und Handlungsempfehlungen ableiten</t>
  </si>
  <si>
    <t>Skincare 7853 verkaufte Einheiten -&gt; am beliebtesten</t>
  </si>
  <si>
    <t>Cosmetics 4012 verkaufte Einheiten -&gt; moderate Verkaufszahlen</t>
  </si>
  <si>
    <t>Female: hohes Niveau</t>
  </si>
  <si>
    <t>Haircare 936 verkaufte Einheiten -&gt; sehr schwache Verkaufszahlen</t>
  </si>
  <si>
    <t>Male: moderates Niveau (unteres Mittelfeld)</t>
  </si>
  <si>
    <t>Skincare 2911 verkaufte Einheiten -&gt; am beliebtesten, nur leicht überproportional</t>
  </si>
  <si>
    <t>Haircare 2292 und cosmetics 2304 verkaufte Einheiten -&gt; ähnliches Niveau</t>
  </si>
  <si>
    <t>Non-binary: moderates Niveau (oberes Mittelfeld)</t>
  </si>
  <si>
    <t>Skincare 5153 verkaufte Einheiten -&gt; am beliebtesten</t>
  </si>
  <si>
    <t>Haircare 2820 und cosmetics 2607 verkaufte Einheiten -&gt; ähnliches Niveau</t>
  </si>
  <si>
    <t>Unknown: hohes Niveau</t>
  </si>
  <si>
    <t>Skincare 4814 verkaufte Einheiten -&gt; moderate Verkaufszahlen</t>
  </si>
  <si>
    <t>Cosmetics 2834 verkaufte Einheiten -&gt; niedrige Verkaufszahlen</t>
  </si>
  <si>
    <t>Haircare 7563 verkaufte Einheiten -&gt; am beliebtesten</t>
  </si>
  <si>
    <t>Insights:</t>
  </si>
  <si>
    <t>Female und Unknown höchstes Niveau an Verkaufszahlen</t>
  </si>
  <si>
    <t>Skincare am beliebtesten</t>
  </si>
  <si>
    <t>Male und Non-Binary im Mittelfeld</t>
  </si>
  <si>
    <t>Female Haircare stark unterpoportional</t>
  </si>
  <si>
    <t>Male Produkte auf ähnlichem Level</t>
  </si>
  <si>
    <t>Male Produkte auf Bundle-Angeboten prüfen</t>
  </si>
  <si>
    <t>Unknown-Produkte klassifizieren -&gt; oberste Priorität, um Zielgruppentrends besser abzuleiten (Basis für fundierte Entscheidungen)</t>
  </si>
  <si>
    <t>Female Marketing intensivieren</t>
  </si>
  <si>
    <t>Female Haircare auf Marketingpotentiale gezielt überprüfen</t>
  </si>
  <si>
    <t>Fazit:</t>
  </si>
  <si>
    <t>Der nächste wichtigste Schritt ist die Identifizierung der Unknown-Produkte.</t>
  </si>
  <si>
    <t>Skincare-Produkte scheinen allgemein am beliebtesten.</t>
  </si>
  <si>
    <t>Analyse der prozentualen Anteile der Produkttypen am Sortiment und verkauften Einheiten</t>
  </si>
  <si>
    <t>Sortiment: 26%</t>
  </si>
  <si>
    <t>verkaufte Einheiten: 25,5% -&gt; ca. proportional</t>
  </si>
  <si>
    <t>cosmetics: niedrigeres Niveau</t>
  </si>
  <si>
    <t>haircare: moderates Niveau</t>
  </si>
  <si>
    <t>skincare: höheres Niveau</t>
  </si>
  <si>
    <t>Sortiment: 40%</t>
  </si>
  <si>
    <t>verkaufte Einheiten: 29,53% -&gt; unterproportional</t>
  </si>
  <si>
    <t>Sortiment: 34%</t>
  </si>
  <si>
    <t>verkaufte Einheiten: 44,97% -&gt;  überproportional</t>
  </si>
  <si>
    <t>Skincare: besonders beliebt, Fokus auf Verfügbarkeit &amp; Marketing lohnt</t>
  </si>
  <si>
    <t>Cosmetics: Nachfrage entspricht Angebot</t>
  </si>
  <si>
    <t>Haircare: Verkäufe niedriger als Anteil am Sortiment,  Potential für Marketing/Optimierung</t>
  </si>
  <si>
    <t>Haircare: Sortiment und Marketing anpassen, um Nachfrage zu steigern</t>
  </si>
  <si>
    <t>Sortimentsstruktur: regelmäßig prüfen, ob Produktanteile noch zur Nachfrage passen</t>
  </si>
  <si>
    <t>Skincare: Fokus auf ausreichende Verfügbarkeit, eventuell Sortiment erweitern</t>
  </si>
  <si>
    <t>Cosmetics: Angebot beibehalten, keine akute Änderungen nötig</t>
  </si>
  <si>
    <t>Skincare zeigt das größte Wachstumspotenzial, Haircare benötigt Anpassungen, während Cosmetics stabil bleibt und regelmäßig auf Trends überprüft werden sollte.</t>
  </si>
  <si>
    <t>Analyse der Produkttypen nach Anteil am Umsatz</t>
  </si>
  <si>
    <t>Skincare: 41,83% Anteil am Umsatz</t>
  </si>
  <si>
    <t>Haircare: 30,20% Anteil am Umsatz</t>
  </si>
  <si>
    <t>Cosmetics: 27,96% Anteil am Umsatz</t>
  </si>
  <si>
    <t>Skincare: Wichtigste Kategorie, fast die Hälfte des Umsatzes.</t>
  </si>
  <si>
    <t>Haircare: Zweitstärkste Kategorie, noch ausbaufähig.</t>
  </si>
  <si>
    <t>Cosmetics: Stabiler Umsatzanteil, dennoch am schwächsten</t>
  </si>
  <si>
    <t>Fokus auf Skincare als Hauptabsatztreiber</t>
  </si>
  <si>
    <t>Haircare und Cosmetics bei Bedarf stärken</t>
  </si>
  <si>
    <t>Insgesamt auf ausgewogene Entwicklung aller Kategorien achten</t>
  </si>
  <si>
    <t>Analyse der Versanddienstleister nach durchschnittlicher Versanddauer und Versandkosten</t>
  </si>
  <si>
    <t>Carrier A:</t>
  </si>
  <si>
    <t>Carrier C:</t>
  </si>
  <si>
    <t>Carrier B:</t>
  </si>
  <si>
    <t>Versanddauer: 6,14</t>
  </si>
  <si>
    <t>Versandkosten: 5,55</t>
  </si>
  <si>
    <t>Versanddauer: 5,30</t>
  </si>
  <si>
    <t>Versandkosten: 5,51</t>
  </si>
  <si>
    <t>Versanddauer: 6,03</t>
  </si>
  <si>
    <t>Versandkosten: 5,60</t>
  </si>
  <si>
    <t>Carrier B hat die kürzeste Versanddauer (5,30) und gleichzeitig die niedrigsten Kosten (5,51).</t>
  </si>
  <si>
    <t>Carrier A ist etwas langsamer (6,14) und geringfügig teurer (5,55).</t>
  </si>
  <si>
    <t>Carrier C liegt bei Versanddauer (6,03) und Kosten (5,60) im Mittelfeld, jedoch ohne klaren Vorteil.</t>
  </si>
  <si>
    <t>Carrier B bevorzugen, da er sowohl Zeit- als auch Kostenvorteile bietet.</t>
  </si>
  <si>
    <t>Carrier A &amp; C nur als Alternativen nutzen, falls z. B. Verfügbarkeitsprobleme auftreten.</t>
  </si>
  <si>
    <t>Analyse der Versanddauer und Versandkosten je Versanddienstleister nach Transportmittel</t>
  </si>
  <si>
    <t>Air:</t>
  </si>
  <si>
    <t>Rail:</t>
  </si>
  <si>
    <t>Road:</t>
  </si>
  <si>
    <t>Sea:</t>
  </si>
  <si>
    <t xml:space="preserve">Insights: </t>
  </si>
  <si>
    <t>Carrier C günstiger, Dauer ähnlich B</t>
  </si>
  <si>
    <t>Carrier B stabil</t>
  </si>
  <si>
    <t>Carrier B schnell, Kosten ähnlich A</t>
  </si>
  <si>
    <t>Carrier C schnell, teuer</t>
  </si>
  <si>
    <t>Carrier  B leicht besser als A</t>
  </si>
  <si>
    <t>Carrier B stabil, am günstigsten</t>
  </si>
  <si>
    <t>Carrier C langsam, günstiger</t>
  </si>
  <si>
    <t>Carrier A langsam, teuer</t>
  </si>
  <si>
    <t>Carrier A langsam, günstig</t>
  </si>
  <si>
    <t>Carrier B am schnellsten,  Versandkosten ähnlich Carrier C</t>
  </si>
  <si>
    <t>Carrier C langsam, leicht günstiger als B</t>
  </si>
  <si>
    <t>Routen-Analyse und Optimierungen der Transportmittel nach Versanddienstleister.</t>
  </si>
  <si>
    <t>Analyse der Lieferanten nach Herstellungskosten und Herstellungszeit:</t>
  </si>
  <si>
    <t>Handlungsempfehlung: Priorität: Supplier 1 &gt; Supplier 3; Supplier 2 nur bei Kostensenkung; Supplier 4/5 meiden oder Prozesse prüfen.</t>
  </si>
  <si>
    <t>Supplier 1 schnell , moderate Kosten → Top-Kombi</t>
  </si>
  <si>
    <t>Supplier 2 billig, langsam → nur bei Kostenfokus.</t>
  </si>
  <si>
    <t>Supplier 3  ausgewogen  → solide Wahl.</t>
  </si>
  <si>
    <t>Supplier 4 teuer, nicht schneller → vermeiden</t>
  </si>
  <si>
    <t>Supplier 5 moderate Kosten, langsam → nur wenn Zeit egal.</t>
  </si>
  <si>
    <t>Analyse der Lieferanten nach Produktionsmenge und Fehlerquoten</t>
  </si>
  <si>
    <t>Supplier 1: Gute Erfolgsquote (Pass: 6394 / 8379 ≈ 76%).</t>
  </si>
  <si>
    <t>Supplier 2: Hoher Fail-Anteil (Fail: 4925 / 8220 ≈ 60%).</t>
  </si>
  <si>
    <t>Supplier 3: Fast ausgeglichen (Pass 1322 / 2443 ≈ 54%).</t>
  </si>
  <si>
    <t>Supplier 4: Alle Produkte fehlerhaft (Fail 100%).</t>
  </si>
  <si>
    <t>Supplier 5: Schlechte Erfolgsquote (Pass 1596 / 4690 ≈ 34%).</t>
  </si>
  <si>
    <t>Gesamt-Failquote: 1985+4925+1121+7728+3094 = 18.853 / 31.460 ≈ 60%.</t>
  </si>
  <si>
    <t>Supplier 4 dringend überprüfen oder ersetzen.</t>
  </si>
  <si>
    <t>Supplier 2 und 5: Qualitätskontrolle intensivieren.</t>
  </si>
  <si>
    <t>Supplier 1: Beziehung stabil halten, evtl. Produktionsanteil erhöhen.</t>
  </si>
  <si>
    <t>Supplier 3: Moderate Verbesserungen möglich, aber nicht kritisch.</t>
  </si>
  <si>
    <t>Gesamt: Qualitätsmanagement stärken, Fail-Quoten senken.</t>
  </si>
  <si>
    <t>Hoher Anteil fehlerhafter Produkte (≈60%).</t>
  </si>
  <si>
    <t>Große Unterschiede zwischen Lieferanten → gezielte Maßnahmen nötig.</t>
  </si>
  <si>
    <t>Fokus auf Schwachstellen (Supplier 2, 4, 5) zur Effizienzsteigerung.</t>
  </si>
  <si>
    <t>Niedrigste Fehlerquote: Bangalore (2,09) &amp; Mumbai (2,12) → überdurchschnittlich gut.</t>
  </si>
  <si>
    <t>Höchste Fehlerquote: Chennai (2,64) → schwächster Standort.</t>
  </si>
  <si>
    <t>Delhi (2,23) &amp; Kolkata (2,29) liegen nah am Schnitt (2,28).</t>
  </si>
  <si>
    <t>Handlungsempfehlung:</t>
  </si>
  <si>
    <t>Best Practices aus Bangalore/Mumbai übernehmen.</t>
  </si>
  <si>
    <t>Chennai priorisiert analysieren &amp; verbessern.</t>
  </si>
  <si>
    <t>Delhi/Kolkata beobachten, aber kein akuter Handlungsbedarf.</t>
  </si>
  <si>
    <t>1. Unknown-Zielgruppe klassifizieren.</t>
  </si>
  <si>
    <t>2. Skincare als Hauptabsatztreiber ausbauen, Haircare gezielt verbessern.</t>
  </si>
  <si>
    <t>3. Carrier B als Standard-Logistikpartner nutzen.</t>
  </si>
  <si>
    <t>4. Lieferantenqualität sichern: Supplier 1 ausbauen, Supplier 4 eliminieren.</t>
  </si>
  <si>
    <t>5. Standort Chennai analysieren und optimieren.</t>
  </si>
  <si>
    <t xml:space="preserve">Skincare ist die stärkste Kategorie, Unknown-Zuordnungen müssen geklärt werden, </t>
  </si>
  <si>
    <t xml:space="preserve">Carrier B ist der beste Versandpartner, Supplier 1 der wichtigste Lieferant, </t>
  </si>
  <si>
    <t>und Chennai die größte Schwachstelle in der Produktion.</t>
  </si>
  <si>
    <t>Maßnahmen:</t>
  </si>
  <si>
    <t>Produkte</t>
  </si>
  <si>
    <t>Skincare: Wichtigste Kategorie (≈45% Verkäufe, ≈42% Umsatz) → Haupttreiber.</t>
  </si>
  <si>
    <t>Cosmetics: Stabil, proportional zum Sortiment → keine dringenden Maßnahmen.</t>
  </si>
  <si>
    <t>Haircare: Unterproportional (29,5% Verkäufe bei 34% Sortiment), besonders schwach bei Female, stark bei Unknown.</t>
  </si>
  <si>
    <t>Gesamtanalyse &amp; Handlungsempfehlungen</t>
  </si>
  <si>
    <t>Versand</t>
  </si>
  <si>
    <t>Carrier B: Schnellste &amp; günstigste Option → bevorzugen.</t>
  </si>
  <si>
    <t>Carrier A/C: nur als Backup.</t>
  </si>
  <si>
    <t>Über alle Transportmittel hinweg klare Vorteile für Carrier B.</t>
  </si>
  <si>
    <t xml:space="preserve"> Lieferanten</t>
  </si>
  <si>
    <t>Supplier 1: Schnell, günstig, beste Qualität → bevorzugter Partner.</t>
  </si>
  <si>
    <t>Supplier 2 &amp; 5: Schwache Qualität → nur bei Kostendruck.</t>
  </si>
  <si>
    <t>Supplier 3: Ausgewogen → als Ergänzung.</t>
  </si>
  <si>
    <t>Supplier 4: Sehr teuer + 100% Fehler → sofort vermeiden.</t>
  </si>
  <si>
    <t>Fokus auf Supplier 1.</t>
  </si>
  <si>
    <t>Qualitätsmanagement bei 2 &amp; 5.</t>
  </si>
  <si>
    <t>Supplier 4 eliminieren.</t>
  </si>
  <si>
    <t>Standorte</t>
  </si>
  <si>
    <t>Bangalore &amp; Mumbai: Niedrigste Fehlerquoten → Best Practices übernehmen.</t>
  </si>
  <si>
    <t>Delhi &amp; Kolkata: Durchschnittlich → beobachten.</t>
  </si>
  <si>
    <t>Chennai: Höchste Fehlerquote → dringend verbessern.</t>
  </si>
  <si>
    <t>Top-Prioritäten</t>
  </si>
  <si>
    <t>Kernaussage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</si>
</sst>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6">
    <dxf>
      <numFmt numFmtId="2" formatCode="0.00"/>
    </dxf>
    <dxf>
      <numFmt numFmtId="2" formatCode="0.00"/>
    </dxf>
    <dxf>
      <numFmt numFmtId="0" formatCode="General"/>
    </dxf>
    <dxf>
      <numFmt numFmtId="14" formatCode="0.00%"/>
    </dxf>
    <dxf>
      <numFmt numFmtId="14" formatCode="0.00%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[SupplyChain_ExcelTraining.xlsx]Produkttypen-Analyse!PivotTable1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Anazhl</a:t>
            </a:r>
            <a:r>
              <a:rPr lang="de-DE" baseline="0"/>
              <a:t> verkaufter Einheiten kategorisiert nach Produkttyp und Zielgruppe</a:t>
            </a:r>
          </a:p>
          <a:p>
            <a:pPr>
              <a:defRPr/>
            </a:pPr>
            <a:r>
              <a:rPr lang="de-DE" baseline="0"/>
              <a:t>des Produkts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rgbClr val="00B0F0"/>
          </a:solidFill>
          <a:ln>
            <a:noFill/>
          </a:ln>
          <a:effectLst/>
        </c:spPr>
      </c:pivotFmt>
      <c:pivotFmt>
        <c:idx val="5"/>
        <c:spPr>
          <a:solidFill>
            <a:srgbClr val="00B0F0"/>
          </a:solidFill>
          <a:ln>
            <a:noFill/>
          </a:ln>
          <a:effectLst/>
        </c:spPr>
      </c:pivotFmt>
      <c:pivotFmt>
        <c:idx val="6"/>
        <c:spPr>
          <a:solidFill>
            <a:srgbClr val="00B0F0"/>
          </a:solidFill>
          <a:ln>
            <a:noFill/>
          </a:ln>
          <a:effectLst/>
        </c:spPr>
      </c:pivotFmt>
      <c:pivotFmt>
        <c:idx val="7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bg2">
              <a:lumMod val="75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3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'Produkttypen-Analyse'!$B$3</c:f>
              <c:strCache>
                <c:ptCount val="1"/>
                <c:pt idx="0">
                  <c:v>Ergebnis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33A-4AD2-A1FA-E34306B3E80F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33A-4AD2-A1FA-E34306B3E80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33A-4AD2-A1FA-E34306B3E80F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33A-4AD2-A1FA-E34306B3E80F}"/>
              </c:ext>
            </c:extLst>
          </c:dPt>
          <c:dPt>
            <c:idx val="4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33A-4AD2-A1FA-E34306B3E80F}"/>
              </c:ext>
            </c:extLst>
          </c:dPt>
          <c:dPt>
            <c:idx val="5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33A-4AD2-A1FA-E34306B3E80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33A-4AD2-A1FA-E34306B3E80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D33A-4AD2-A1FA-E34306B3E80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33A-4AD2-A1FA-E34306B3E80F}"/>
              </c:ext>
            </c:extLst>
          </c:dPt>
          <c:dPt>
            <c:idx val="9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D33A-4AD2-A1FA-E34306B3E80F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33A-4AD2-A1FA-E34306B3E80F}"/>
              </c:ext>
            </c:extLst>
          </c:dPt>
          <c:dPt>
            <c:idx val="11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D33A-4AD2-A1FA-E34306B3E8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'Produkttypen-Analyse'!$A$4:$A$20</c:f>
              <c:multiLvlStrCache>
                <c:ptCount val="12"/>
                <c:lvl>
                  <c:pt idx="0">
                    <c:v>cosmetics</c:v>
                  </c:pt>
                  <c:pt idx="1">
                    <c:v>haircare</c:v>
                  </c:pt>
                  <c:pt idx="2">
                    <c:v>skincare</c:v>
                  </c:pt>
                  <c:pt idx="3">
                    <c:v>cosmetics</c:v>
                  </c:pt>
                  <c:pt idx="4">
                    <c:v>haircare</c:v>
                  </c:pt>
                  <c:pt idx="5">
                    <c:v>skincare</c:v>
                  </c:pt>
                  <c:pt idx="6">
                    <c:v>cosmetics</c:v>
                  </c:pt>
                  <c:pt idx="7">
                    <c:v>haircare</c:v>
                  </c:pt>
                  <c:pt idx="8">
                    <c:v>skincare</c:v>
                  </c:pt>
                  <c:pt idx="9">
                    <c:v>cosmetics</c:v>
                  </c:pt>
                  <c:pt idx="10">
                    <c:v>haircare</c:v>
                  </c:pt>
                  <c:pt idx="11">
                    <c:v>skincare</c:v>
                  </c:pt>
                </c:lvl>
                <c:lvl>
                  <c:pt idx="0">
                    <c:v>Female</c:v>
                  </c:pt>
                  <c:pt idx="3">
                    <c:v>Male</c:v>
                  </c:pt>
                  <c:pt idx="6">
                    <c:v>Non-binary</c:v>
                  </c:pt>
                  <c:pt idx="9">
                    <c:v>Unknown</c:v>
                  </c:pt>
                </c:lvl>
              </c:multiLvlStrCache>
            </c:multiLvlStrRef>
          </c:cat>
          <c:val>
            <c:numRef>
              <c:f>'Produkttypen-Analyse'!$B$4:$B$20</c:f>
              <c:numCache>
                <c:formatCode>General</c:formatCode>
                <c:ptCount val="12"/>
                <c:pt idx="0">
                  <c:v>4012</c:v>
                </c:pt>
                <c:pt idx="1">
                  <c:v>936</c:v>
                </c:pt>
                <c:pt idx="2">
                  <c:v>7853</c:v>
                </c:pt>
                <c:pt idx="3">
                  <c:v>2304</c:v>
                </c:pt>
                <c:pt idx="4">
                  <c:v>2292</c:v>
                </c:pt>
                <c:pt idx="5">
                  <c:v>2911</c:v>
                </c:pt>
                <c:pt idx="6">
                  <c:v>2607</c:v>
                </c:pt>
                <c:pt idx="7">
                  <c:v>2820</c:v>
                </c:pt>
                <c:pt idx="8">
                  <c:v>5153</c:v>
                </c:pt>
                <c:pt idx="9">
                  <c:v>2834</c:v>
                </c:pt>
                <c:pt idx="10">
                  <c:v>7563</c:v>
                </c:pt>
                <c:pt idx="11">
                  <c:v>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A-4AD2-A1FA-E34306B3E80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123863712"/>
        <c:axId val="1123863232"/>
      </c:barChart>
      <c:catAx>
        <c:axId val="11238637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23863232"/>
        <c:crosses val="autoZero"/>
        <c:auto val="1"/>
        <c:lblAlgn val="ctr"/>
        <c:lblOffset val="100"/>
        <c:noMultiLvlLbl val="0"/>
      </c:catAx>
      <c:valAx>
        <c:axId val="1123863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23863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[SupplyChain_ExcelTraining.xlsx]Produkttypen-Analyse2!PivotTable3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Prozentualer</a:t>
            </a:r>
            <a:r>
              <a:rPr lang="de-DE" baseline="0"/>
              <a:t> Anteil der Produkttypen an den verkauften Einheiten und prozentualer Anteil am Sortiment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2.0373514431239349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dLbl>
          <c:idx val="0"/>
          <c:layout>
            <c:manualLayout>
              <c:x val="1.1318619128466245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'Produkttypen-Analyse2'!$B$3</c:f>
              <c:strCache>
                <c:ptCount val="1"/>
                <c:pt idx="0">
                  <c:v>Prozentualer Anteil der Produkttypen an verkauften Einheiten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'Produkttypen-Analyse2'!$A$4:$A$7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'Produkttypen-Analyse2'!$B$4:$B$7</c:f>
              <c:numCache>
                <c:formatCode>0.00%</c:formatCode>
                <c:ptCount val="3"/>
                <c:pt idx="0">
                  <c:v>0.25503807024013536</c:v>
                </c:pt>
                <c:pt idx="1">
                  <c:v>0.29525586238313195</c:v>
                </c:pt>
                <c:pt idx="2">
                  <c:v>0.44970606737673269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36-4524-951E-192EA4BBCB52}"/>
            </c:ext>
          </c:extLst>
        </c:ser>
        <c:ser>
          <c:idx val="1"/>
          <c:order val="1"/>
          <c:tx>
            <c:strRef>
              <c:f>'Produkttypen-Analyse2'!$C$3</c:f>
              <c:strCache>
                <c:ptCount val="1"/>
                <c:pt idx="0">
                  <c:v>Prozentualer Anteil am Sortiment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836-4524-951E-192EA4BBCB5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7836-4524-951E-192EA4BBCB52}"/>
              </c:ext>
            </c:extLst>
          </c:dPt>
          <c:dLbls>
            <c:dLbl>
              <c:idx val="0"/>
              <c:layout>
                <c:manualLayout>
                  <c:x val="2.0373514431239349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36-4524-951E-192EA4BBCB52}"/>
                </c:ext>
              </c:extLst>
            </c:dLbl>
            <c:dLbl>
              <c:idx val="2"/>
              <c:layout>
                <c:manualLayout>
                  <c:x val="1.1318619128466245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836-4524-951E-192EA4BBCB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'Produkttypen-Analyse2'!$A$4:$A$7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'Produkttypen-Analyse2'!$C$4:$C$7</c:f>
              <c:numCache>
                <c:formatCode>0.00%</c:formatCode>
                <c:ptCount val="3"/>
                <c:pt idx="0">
                  <c:v>0.26</c:v>
                </c:pt>
                <c:pt idx="1">
                  <c:v>0.34</c:v>
                </c:pt>
                <c:pt idx="2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36-4524-951E-192EA4BBCB5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22084191"/>
        <c:axId val="1522090911"/>
      </c:barChart>
      <c:catAx>
        <c:axId val="152208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22090911"/>
        <c:crosses val="autoZero"/>
        <c:auto val="1"/>
        <c:lblAlgn val="ctr"/>
        <c:lblOffset val="100"/>
        <c:noMultiLvlLbl val="0"/>
      </c:catAx>
      <c:valAx>
        <c:axId val="1522090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2208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[SupplyChain_ExcelTraining.xlsx]Produkttypen-Analyse3!PivotTable1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Anteil</a:t>
            </a:r>
            <a:r>
              <a:rPr lang="en-US" baseline="0"/>
              <a:t> am </a:t>
            </a:r>
            <a:r>
              <a:rPr lang="en-US"/>
              <a:t>Umsatz</a:t>
            </a:r>
            <a:r>
              <a:rPr lang="en-US" baseline="0"/>
              <a:t> nach Produkttyp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'Produkttypen-Analyse3'!$B$3</c:f>
              <c:strCache>
                <c:ptCount val="1"/>
                <c:pt idx="0">
                  <c:v>Ergebnis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'Produkttypen-Analyse3'!$A$4:$A$7</c:f>
              <c:strCache>
                <c:ptCount val="3"/>
                <c:pt idx="0">
                  <c:v>cosmetics</c:v>
                </c:pt>
                <c:pt idx="1">
                  <c:v>haircare</c:v>
                </c:pt>
                <c:pt idx="2">
                  <c:v>skincare</c:v>
                </c:pt>
              </c:strCache>
            </c:strRef>
          </c:cat>
          <c:val>
            <c:numRef>
              <c:f>'Produkttypen-Analyse3'!$B$4:$B$7</c:f>
              <c:numCache>
                <c:formatCode>0.00%</c:formatCode>
                <c:ptCount val="3"/>
                <c:pt idx="0">
                  <c:v>0.27963974807783998</c:v>
                </c:pt>
                <c:pt idx="1">
                  <c:v>0.30203243627115312</c:v>
                </c:pt>
                <c:pt idx="2">
                  <c:v>0.41832781565100696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F-46D5-AD2D-5E50FD458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7689391"/>
        <c:axId val="1447687471"/>
      </c:barChart>
      <c:catAx>
        <c:axId val="144768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47687471"/>
        <c:crosses val="autoZero"/>
        <c:auto val="1"/>
        <c:lblAlgn val="ctr"/>
        <c:lblOffset val="100"/>
        <c:noMultiLvlLbl val="0"/>
      </c:catAx>
      <c:valAx>
        <c:axId val="1447687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47689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[SupplyChain_ExcelTraining.xlsx]Carrier-Analyse!PivotTable1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3312516969861533E-2"/>
          <c:y val="0.11249946628285873"/>
          <c:w val="0.68734425438199531"/>
          <c:h val="0.74713914100455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'Carrier-Analyse'!$B$3</c:f>
              <c:strCache>
                <c:ptCount val="1"/>
                <c:pt idx="0">
                  <c:v>Mittelwert von Versanddauer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'Carrier-Analyse'!$A$4:$A$7</c:f>
              <c:strCache>
                <c:ptCount val="3"/>
                <c:pt idx="0">
                  <c:v>Carrier A</c:v>
                </c:pt>
                <c:pt idx="1">
                  <c:v>Carrier B</c:v>
                </c:pt>
                <c:pt idx="2">
                  <c:v>Carrier C</c:v>
                </c:pt>
              </c:strCache>
            </c:strRef>
          </c:cat>
          <c:val>
            <c:numRef>
              <c:f>'Carrier-Analyse'!$B$4:$B$7</c:f>
              <c:numCache>
                <c:formatCode>0.00</c:formatCode>
                <c:ptCount val="3"/>
                <c:pt idx="0">
                  <c:v>6.1428571428571432</c:v>
                </c:pt>
                <c:pt idx="1">
                  <c:v>5.3023255813953485</c:v>
                </c:pt>
                <c:pt idx="2">
                  <c:v>6.0344827586206895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C9-4135-84D3-CC7312185F91}"/>
            </c:ext>
          </c:extLst>
        </c:ser>
        <c:ser>
          <c:idx val="1"/>
          <c:order val="1"/>
          <c:tx>
            <c:strRef>
              <c:f>'Carrier-Analyse'!$C$3</c:f>
              <c:strCache>
                <c:ptCount val="1"/>
                <c:pt idx="0">
                  <c:v>Mittelwert von Versandkosten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'Carrier-Analyse'!$A$4:$A$7</c:f>
              <c:strCache>
                <c:ptCount val="3"/>
                <c:pt idx="0">
                  <c:v>Carrier A</c:v>
                </c:pt>
                <c:pt idx="1">
                  <c:v>Carrier B</c:v>
                </c:pt>
                <c:pt idx="2">
                  <c:v>Carrier C</c:v>
                </c:pt>
              </c:strCache>
            </c:strRef>
          </c:cat>
          <c:val>
            <c:numRef>
              <c:f>'Carrier-Analyse'!$C$4:$C$7</c:f>
              <c:numCache>
                <c:formatCode>0.00</c:formatCode>
                <c:ptCount val="3"/>
                <c:pt idx="0">
                  <c:v>5.5549225217142864</c:v>
                </c:pt>
                <c:pt idx="1">
                  <c:v>5.5092469688604657</c:v>
                </c:pt>
                <c:pt idx="2">
                  <c:v>5.5992916183103425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C9-4135-84D3-CC7312185F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2072671"/>
        <c:axId val="1522051551"/>
      </c:barChart>
      <c:catAx>
        <c:axId val="152207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22051551"/>
        <c:crosses val="autoZero"/>
        <c:auto val="1"/>
        <c:lblAlgn val="ctr"/>
        <c:lblOffset val="100"/>
        <c:noMultiLvlLbl val="0"/>
      </c:catAx>
      <c:valAx>
        <c:axId val="152205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2207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[SupplyChain_ExcelTraining.xlsx]Versand-Transport-Analyse!PivotTable1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rgbClr val="FF0000"/>
          </a:solidFill>
          <a:ln>
            <a:noFill/>
          </a:ln>
          <a:effectLst/>
        </c:spPr>
      </c:pivotFmt>
      <c:pivotFmt>
        <c:idx val="7"/>
        <c:spPr>
          <a:solidFill>
            <a:srgbClr val="FF0000"/>
          </a:solidFill>
          <a:ln>
            <a:noFill/>
          </a:ln>
          <a:effectLst/>
        </c:spPr>
      </c:pivotFmt>
      <c:pivotFmt>
        <c:idx val="8"/>
        <c:spPr>
          <a:solidFill>
            <a:srgbClr val="FF0000"/>
          </a:solidFill>
          <a:ln>
            <a:noFill/>
          </a:ln>
          <a:effectLst/>
        </c:spPr>
      </c:pivotFmt>
      <c:pivotFmt>
        <c:idx val="9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'Versand-Transport-Analyse'!$B$3</c:f>
              <c:strCache>
                <c:ptCount val="1"/>
                <c:pt idx="0">
                  <c:v>Mittelwert von Versanddauer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8EF-4D5D-81A2-8F4C2385BEE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8EF-4D5D-81A2-8F4C2385BEE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8EF-4D5D-81A2-8F4C2385BEE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8EF-4D5D-81A2-8F4C2385BEE9}"/>
              </c:ext>
            </c:extLst>
          </c:dPt>
          <c:cat>
            <c:multiLvlStrRef>
              <c:f>'Versand-Transport-Analyse'!$A$4:$A$20</c:f>
              <c:multiLvlStrCache>
                <c:ptCount val="12"/>
                <c:lvl>
                  <c:pt idx="0">
                    <c:v>Carrier A</c:v>
                  </c:pt>
                  <c:pt idx="1">
                    <c:v>Carrier B</c:v>
                  </c:pt>
                  <c:pt idx="2">
                    <c:v>Carrier C</c:v>
                  </c:pt>
                  <c:pt idx="3">
                    <c:v>Carrier A</c:v>
                  </c:pt>
                  <c:pt idx="4">
                    <c:v>Carrier B</c:v>
                  </c:pt>
                  <c:pt idx="5">
                    <c:v>Carrier C</c:v>
                  </c:pt>
                  <c:pt idx="6">
                    <c:v>Carrier A</c:v>
                  </c:pt>
                  <c:pt idx="7">
                    <c:v>Carrier B</c:v>
                  </c:pt>
                  <c:pt idx="8">
                    <c:v>Carrier C</c:v>
                  </c:pt>
                  <c:pt idx="9">
                    <c:v>Carrier A</c:v>
                  </c:pt>
                  <c:pt idx="10">
                    <c:v>Carrier B</c:v>
                  </c:pt>
                  <c:pt idx="11">
                    <c:v>Carrier C</c:v>
                  </c:pt>
                </c:lvl>
                <c:lvl>
                  <c:pt idx="0">
                    <c:v>Air</c:v>
                  </c:pt>
                  <c:pt idx="3">
                    <c:v>Rail</c:v>
                  </c:pt>
                  <c:pt idx="6">
                    <c:v>Road</c:v>
                  </c:pt>
                  <c:pt idx="9">
                    <c:v>Sea</c:v>
                  </c:pt>
                </c:lvl>
              </c:multiLvlStrCache>
            </c:multiLvlStrRef>
          </c:cat>
          <c:val>
            <c:numRef>
              <c:f>'Versand-Transport-Analyse'!$B$4:$B$20</c:f>
              <c:numCache>
                <c:formatCode>0.00</c:formatCode>
                <c:ptCount val="12"/>
                <c:pt idx="0">
                  <c:v>5.6</c:v>
                </c:pt>
                <c:pt idx="1">
                  <c:v>4.2142857142857144</c:v>
                </c:pt>
                <c:pt idx="2">
                  <c:v>6.5714285714285712</c:v>
                </c:pt>
                <c:pt idx="3">
                  <c:v>7.4285714285714288</c:v>
                </c:pt>
                <c:pt idx="4">
                  <c:v>6.333333333333333</c:v>
                </c:pt>
                <c:pt idx="5">
                  <c:v>6.166666666666667</c:v>
                </c:pt>
                <c:pt idx="6">
                  <c:v>5.1818181818181817</c:v>
                </c:pt>
                <c:pt idx="7">
                  <c:v>4.9090909090909092</c:v>
                </c:pt>
                <c:pt idx="8">
                  <c:v>3.7142857142857144</c:v>
                </c:pt>
                <c:pt idx="9">
                  <c:v>7</c:v>
                </c:pt>
                <c:pt idx="10">
                  <c:v>6.666666666666667</c:v>
                </c:pt>
                <c:pt idx="11">
                  <c:v>7.333333333333333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F-4D5D-81A2-8F4C2385BEE9}"/>
            </c:ext>
          </c:extLst>
        </c:ser>
        <c:ser>
          <c:idx val="1"/>
          <c:order val="1"/>
          <c:tx>
            <c:strRef>
              <c:f>'Versand-Transport-Analyse'!$C$3</c:f>
              <c:strCache>
                <c:ptCount val="1"/>
                <c:pt idx="0">
                  <c:v>Mittelwert von Versandkosten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8EF-4D5D-81A2-8F4C2385BEE9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18EF-4D5D-81A2-8F4C2385BEE9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8EF-4D5D-81A2-8F4C2385BEE9}"/>
              </c:ext>
            </c:extLst>
          </c:dPt>
          <c:dPt>
            <c:idx val="9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18EF-4D5D-81A2-8F4C2385BEE9}"/>
              </c:ext>
            </c:extLst>
          </c:dPt>
          <c:cat>
            <c:multiLvlStrRef>
              <c:f>'Versand-Transport-Analyse'!$A$4:$A$20</c:f>
              <c:multiLvlStrCache>
                <c:ptCount val="12"/>
                <c:lvl>
                  <c:pt idx="0">
                    <c:v>Carrier A</c:v>
                  </c:pt>
                  <c:pt idx="1">
                    <c:v>Carrier B</c:v>
                  </c:pt>
                  <c:pt idx="2">
                    <c:v>Carrier C</c:v>
                  </c:pt>
                  <c:pt idx="3">
                    <c:v>Carrier A</c:v>
                  </c:pt>
                  <c:pt idx="4">
                    <c:v>Carrier B</c:v>
                  </c:pt>
                  <c:pt idx="5">
                    <c:v>Carrier C</c:v>
                  </c:pt>
                  <c:pt idx="6">
                    <c:v>Carrier A</c:v>
                  </c:pt>
                  <c:pt idx="7">
                    <c:v>Carrier B</c:v>
                  </c:pt>
                  <c:pt idx="8">
                    <c:v>Carrier C</c:v>
                  </c:pt>
                  <c:pt idx="9">
                    <c:v>Carrier A</c:v>
                  </c:pt>
                  <c:pt idx="10">
                    <c:v>Carrier B</c:v>
                  </c:pt>
                  <c:pt idx="11">
                    <c:v>Carrier C</c:v>
                  </c:pt>
                </c:lvl>
                <c:lvl>
                  <c:pt idx="0">
                    <c:v>Air</c:v>
                  </c:pt>
                  <c:pt idx="3">
                    <c:v>Rail</c:v>
                  </c:pt>
                  <c:pt idx="6">
                    <c:v>Road</c:v>
                  </c:pt>
                  <c:pt idx="9">
                    <c:v>Sea</c:v>
                  </c:pt>
                </c:lvl>
              </c:multiLvlStrCache>
            </c:multiLvlStrRef>
          </c:cat>
          <c:val>
            <c:numRef>
              <c:f>'Versand-Transport-Analyse'!$C$4:$C$20</c:f>
              <c:numCache>
                <c:formatCode>0.00</c:formatCode>
                <c:ptCount val="12"/>
                <c:pt idx="0">
                  <c:v>6.247389018999999</c:v>
                </c:pt>
                <c:pt idx="1">
                  <c:v>6.2164081894999992</c:v>
                </c:pt>
                <c:pt idx="2">
                  <c:v>5.4567377245714281</c:v>
                </c:pt>
                <c:pt idx="3">
                  <c:v>6.3998314107142846</c:v>
                </c:pt>
                <c:pt idx="4">
                  <c:v>5.2310360279333334</c:v>
                </c:pt>
                <c:pt idx="5">
                  <c:v>4.9783969861666675</c:v>
                </c:pt>
                <c:pt idx="6">
                  <c:v>5.4654595409090909</c:v>
                </c:pt>
                <c:pt idx="7">
                  <c:v>4.9763646682727272</c:v>
                </c:pt>
                <c:pt idx="8">
                  <c:v>6.551611429857144</c:v>
                </c:pt>
                <c:pt idx="9">
                  <c:v>3.8764021375999995</c:v>
                </c:pt>
                <c:pt idx="10">
                  <c:v>5.5541177460000002</c:v>
                </c:pt>
                <c:pt idx="11">
                  <c:v>5.3834034370000001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EF-4D5D-81A2-8F4C2385BE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3864047"/>
        <c:axId val="263843887"/>
      </c:barChart>
      <c:catAx>
        <c:axId val="263864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63843887"/>
        <c:crosses val="autoZero"/>
        <c:auto val="1"/>
        <c:lblAlgn val="ctr"/>
        <c:lblOffset val="100"/>
        <c:noMultiLvlLbl val="0"/>
      </c:catAx>
      <c:valAx>
        <c:axId val="26384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63864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[SupplyChain_ExcelTraining.xlsx]Lieferanten-Analyse!PivotTable2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'Lieferanten-Analyse'!$B$3</c:f>
              <c:strCache>
                <c:ptCount val="1"/>
                <c:pt idx="0">
                  <c:v>Mittelwert von Herstellungskosten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04-4FFC-A2BA-FD2A14382D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'Lieferanten-Analyse'!$A$4:$A$9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'Lieferanten-Analyse'!$B$4:$B$9</c:f>
              <c:numCache>
                <c:formatCode>0.00</c:formatCode>
                <c:ptCount val="5"/>
                <c:pt idx="0">
                  <c:v>45.254027195407417</c:v>
                </c:pt>
                <c:pt idx="1">
                  <c:v>41.622514186545452</c:v>
                </c:pt>
                <c:pt idx="2">
                  <c:v>43.634121312666672</c:v>
                </c:pt>
                <c:pt idx="3">
                  <c:v>62.709726882222235</c:v>
                </c:pt>
                <c:pt idx="4">
                  <c:v>44.768243010722223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4-42AC-81CD-6ABE9F630BE1}"/>
            </c:ext>
          </c:extLst>
        </c:ser>
        <c:ser>
          <c:idx val="1"/>
          <c:order val="1"/>
          <c:tx>
            <c:strRef>
              <c:f>'Lieferanten-Analyse'!$C$3</c:f>
              <c:strCache>
                <c:ptCount val="1"/>
                <c:pt idx="0">
                  <c:v>Mittelwert von Herstellungszeit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A04-4FFC-A2BA-FD2A14382D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'Lieferanten-Analyse'!$A$4:$A$9</c:f>
              <c:strCache>
                <c:ptCount val="5"/>
                <c:pt idx="0">
                  <c:v>Supplier 1</c:v>
                </c:pt>
                <c:pt idx="1">
                  <c:v>Supplier 2</c:v>
                </c:pt>
                <c:pt idx="2">
                  <c:v>Supplier 3</c:v>
                </c:pt>
                <c:pt idx="3">
                  <c:v>Supplier 4</c:v>
                </c:pt>
                <c:pt idx="4">
                  <c:v>Supplier 5</c:v>
                </c:pt>
              </c:strCache>
            </c:strRef>
          </c:cat>
          <c:val>
            <c:numRef>
              <c:f>'Lieferanten-Analyse'!$C$4:$C$9</c:f>
              <c:numCache>
                <c:formatCode>0.00</c:formatCode>
                <c:ptCount val="5"/>
                <c:pt idx="0">
                  <c:v>12.592592592592593</c:v>
                </c:pt>
                <c:pt idx="1">
                  <c:v>15.590909090909092</c:v>
                </c:pt>
                <c:pt idx="2">
                  <c:v>14.933333333333334</c:v>
                </c:pt>
                <c:pt idx="3">
                  <c:v>15.333333333333334</c:v>
                </c:pt>
                <c:pt idx="4">
                  <c:v>16.333333333333332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E0-4A0C-979C-70F8D2B4AEA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61327583"/>
        <c:axId val="1061328063"/>
      </c:barChart>
      <c:catAx>
        <c:axId val="1061327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61328063"/>
        <c:crosses val="autoZero"/>
        <c:auto val="1"/>
        <c:lblAlgn val="ctr"/>
        <c:lblOffset val="100"/>
        <c:noMultiLvlLbl val="0"/>
      </c:catAx>
      <c:valAx>
        <c:axId val="106132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61327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[SupplyChain_ExcelTraining.xlsx]Lieferanten-Analyse2!PivotTable2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bg2"/>
          </a:solidFill>
          <a:ln>
            <a:noFill/>
          </a:ln>
          <a:effectLst/>
        </c:spPr>
      </c:pivotFmt>
      <c:pivotFmt>
        <c:idx val="2"/>
        <c:spPr>
          <a:solidFill>
            <a:schemeClr val="bg2"/>
          </a:solidFill>
          <a:ln>
            <a:noFill/>
          </a:ln>
          <a:effectLst/>
        </c:spPr>
      </c:pivotFmt>
      <c:pivotFmt>
        <c:idx val="3"/>
        <c:spPr>
          <a:solidFill>
            <a:schemeClr val="bg2"/>
          </a:solidFill>
          <a:ln>
            <a:noFill/>
          </a:ln>
          <a:effectLst/>
        </c:spPr>
      </c:pivotFmt>
      <c:pivotFmt>
        <c:idx val="4"/>
        <c:spPr>
          <a:solidFill>
            <a:schemeClr val="bg2"/>
          </a:solidFill>
          <a:ln>
            <a:noFill/>
          </a:ln>
          <a:effectLst/>
        </c:spPr>
      </c:pivotFmt>
      <c:pivotFmt>
        <c:idx val="5"/>
        <c:spPr>
          <a:solidFill>
            <a:schemeClr val="bg2"/>
          </a:solidFill>
          <a:ln>
            <a:noFill/>
          </a:ln>
          <a:effectLst/>
        </c:spPr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</c:pivotFmt>
      <c:pivotFmt>
        <c:idx val="10"/>
        <c:spPr>
          <a:solidFill>
            <a:srgbClr val="C00000"/>
          </a:solidFill>
          <a:ln>
            <a:noFill/>
          </a:ln>
          <a:effectLst/>
        </c:spPr>
      </c:pivotFmt>
      <c:pivotFmt>
        <c:idx val="11"/>
        <c:spPr>
          <a:solidFill>
            <a:srgbClr val="C00000"/>
          </a:solidFill>
          <a:ln>
            <a:noFill/>
          </a:ln>
          <a:effectLst/>
        </c:spPr>
      </c:pivotFmt>
      <c:pivotFmt>
        <c:idx val="12"/>
        <c:spPr>
          <a:solidFill>
            <a:srgbClr val="C00000"/>
          </a:solidFill>
          <a:ln>
            <a:noFill/>
          </a:ln>
          <a:effectLst/>
        </c:spPr>
      </c:pivotFmt>
      <c:pivotFmt>
        <c:idx val="13"/>
        <c:spPr>
          <a:solidFill>
            <a:srgbClr val="C00000"/>
          </a:solidFill>
          <a:ln>
            <a:noFill/>
          </a:ln>
          <a:effectLst/>
        </c:spPr>
      </c:pivotFmt>
      <c:pivotFmt>
        <c:idx val="14"/>
        <c:spPr>
          <a:solidFill>
            <a:srgbClr val="C00000"/>
          </a:solidFill>
          <a:ln>
            <a:noFill/>
          </a:ln>
          <a:effectLst/>
        </c:spP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'Lieferanten-Analyse2'!$B$3</c:f>
              <c:strCache>
                <c:ptCount val="1"/>
                <c:pt idx="0">
                  <c:v>Ergebnis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'Lieferanten-Analyse2'!$A$4:$A$18</c:f>
              <c:multiLvlStrCache>
                <c:ptCount val="9"/>
                <c:lvl>
                  <c:pt idx="0">
                    <c:v>Fail</c:v>
                  </c:pt>
                  <c:pt idx="1">
                    <c:v>Pass</c:v>
                  </c:pt>
                  <c:pt idx="2">
                    <c:v>Fail</c:v>
                  </c:pt>
                  <c:pt idx="3">
                    <c:v>Pass</c:v>
                  </c:pt>
                  <c:pt idx="4">
                    <c:v>Fail</c:v>
                  </c:pt>
                  <c:pt idx="5">
                    <c:v>Pass</c:v>
                  </c:pt>
                  <c:pt idx="6">
                    <c:v>Fail</c:v>
                  </c:pt>
                  <c:pt idx="7">
                    <c:v>Fail</c:v>
                  </c:pt>
                  <c:pt idx="8">
                    <c:v>Pass</c:v>
                  </c:pt>
                </c:lvl>
                <c:lvl>
                  <c:pt idx="0">
                    <c:v>Supplier 1</c:v>
                  </c:pt>
                  <c:pt idx="2">
                    <c:v>Supplier 2</c:v>
                  </c:pt>
                  <c:pt idx="4">
                    <c:v>Supplier 3</c:v>
                  </c:pt>
                  <c:pt idx="6">
                    <c:v>Supplier 4</c:v>
                  </c:pt>
                  <c:pt idx="7">
                    <c:v>Supplier 5</c:v>
                  </c:pt>
                </c:lvl>
              </c:multiLvlStrCache>
            </c:multiLvlStrRef>
          </c:cat>
          <c:val>
            <c:numRef>
              <c:f>'Lieferanten-Analyse2'!$B$4:$B$18</c:f>
              <c:numCache>
                <c:formatCode>General</c:formatCode>
                <c:ptCount val="9"/>
                <c:pt idx="0">
                  <c:v>1985</c:v>
                </c:pt>
                <c:pt idx="1">
                  <c:v>6394</c:v>
                </c:pt>
                <c:pt idx="2">
                  <c:v>4925</c:v>
                </c:pt>
                <c:pt idx="3">
                  <c:v>3295</c:v>
                </c:pt>
                <c:pt idx="4">
                  <c:v>1121</c:v>
                </c:pt>
                <c:pt idx="5">
                  <c:v>1322</c:v>
                </c:pt>
                <c:pt idx="6">
                  <c:v>7728</c:v>
                </c:pt>
                <c:pt idx="7">
                  <c:v>3094</c:v>
                </c:pt>
                <c:pt idx="8">
                  <c:v>1596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1A0C-4EAB-A9EE-DAC3574B8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4902559"/>
        <c:axId val="1334902079"/>
      </c:barChart>
      <c:catAx>
        <c:axId val="13349025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4902079"/>
        <c:crosses val="autoZero"/>
        <c:auto val="1"/>
        <c:lblAlgn val="ctr"/>
        <c:lblOffset val="100"/>
        <c:noMultiLvlLbl val="0"/>
      </c:catAx>
      <c:valAx>
        <c:axId val="133490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4902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[SupplyChain_ExcelTraining.xlsx]Lieferanten-Analyse3!PivotTable3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'Lieferanten-Analyse3'!$B$3</c:f>
              <c:strCache>
                <c:ptCount val="1"/>
                <c:pt idx="0">
                  <c:v>Ergebnis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'Lieferanten-Analyse3'!$A$4:$A$9</c:f>
              <c:strCache>
                <c:ptCount val="5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Kolkata</c:v>
                </c:pt>
                <c:pt idx="4">
                  <c:v>Mumbai</c:v>
                </c:pt>
              </c:strCache>
            </c:strRef>
          </c:cat>
          <c:val>
            <c:numRef>
              <c:f>'Lieferanten-Analyse3'!$B$4:$B$9</c:f>
              <c:numCache>
                <c:formatCode>0.00</c:formatCode>
                <c:ptCount val="5"/>
                <c:pt idx="0">
                  <c:v>2.0936397046111113</c:v>
                </c:pt>
                <c:pt idx="1">
                  <c:v>2.6382555129499998</c:v>
                </c:pt>
                <c:pt idx="2">
                  <c:v>2.2286386941333332</c:v>
                </c:pt>
                <c:pt idx="3">
                  <c:v>2.2857656533599999</c:v>
                </c:pt>
                <c:pt idx="4">
                  <c:v>2.1223387539090908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D58-46F5-99DB-6687F9737B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34900159"/>
        <c:axId val="1494709871"/>
      </c:barChart>
      <c:catAx>
        <c:axId val="133490015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94709871"/>
        <c:crosses val="autoZero"/>
        <c:auto val="1"/>
        <c:lblAlgn val="ctr"/>
        <c:lblOffset val="100"/>
        <c:noMultiLvlLbl val="0"/>
      </c:catAx>
      <c:valAx>
        <c:axId val="1494709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490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38099</xdr:colOff>
      <xdr:row>2</xdr:row>
      <xdr:rowOff>47625</xdr:rowOff>
    </xdr:from>
    <xdr:to>
      <xdr:col>12</xdr:col>
      <xdr:colOff>600074</xdr:colOff>
      <xdr:row>20</xdr:row>
      <xdr:rowOff>161924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7FD48C74-272A-1464-3096-A4FA42B6F6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800101</xdr:colOff>
      <xdr:row>2</xdr:row>
      <xdr:rowOff>38100</xdr:rowOff>
    </xdr:from>
    <xdr:to>
      <xdr:col>10</xdr:col>
      <xdr:colOff>238126</xdr:colOff>
      <xdr:row>26</xdr:row>
      <xdr:rowOff>95249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D0C5801-311D-03AE-8CC1-FA11541A1D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257174</xdr:colOff>
      <xdr:row>1</xdr:row>
      <xdr:rowOff>57149</xdr:rowOff>
    </xdr:from>
    <xdr:to>
      <xdr:col>15</xdr:col>
      <xdr:colOff>342899</xdr:colOff>
      <xdr:row>22</xdr:row>
      <xdr:rowOff>180974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A26425E-8F3A-4A7A-AF4E-8A61B208C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1</xdr:row>
      <xdr:rowOff>171450</xdr:rowOff>
    </xdr:from>
    <xdr:to>
      <xdr:col>13</xdr:col>
      <xdr:colOff>0</xdr:colOff>
      <xdr:row>21</xdr:row>
      <xdr:rowOff>61912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A07C9BB-61CA-AEB8-6EA4-535A51DEA2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438149</xdr:colOff>
      <xdr:row>5</xdr:row>
      <xdr:rowOff>19050</xdr:rowOff>
    </xdr:from>
    <xdr:to>
      <xdr:col>12</xdr:col>
      <xdr:colOff>285750</xdr:colOff>
      <xdr:row>25</xdr:row>
      <xdr:rowOff>57150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96ABDA9-4A3E-6D51-423C-DA06D2D2C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733425</xdr:colOff>
      <xdr:row>1</xdr:row>
      <xdr:rowOff>119061</xdr:rowOff>
    </xdr:from>
    <xdr:to>
      <xdr:col>13</xdr:col>
      <xdr:colOff>361950</xdr:colOff>
      <xdr:row>20</xdr:row>
      <xdr:rowOff>142874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802A3F4D-064B-2CCF-7704-36C3F15C5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2</xdr:row>
      <xdr:rowOff>185736</xdr:rowOff>
    </xdr:from>
    <xdr:to>
      <xdr:col>11</xdr:col>
      <xdr:colOff>695324</xdr:colOff>
      <xdr:row>23</xdr:row>
      <xdr:rowOff>171450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16DAC70-DF10-A430-16D2-D029CA235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2019300</xdr:colOff>
      <xdr:row>1</xdr:row>
      <xdr:rowOff>152400</xdr:rowOff>
    </xdr:from>
    <xdr:to>
      <xdr:col>12</xdr:col>
      <xdr:colOff>285750</xdr:colOff>
      <xdr:row>30</xdr:row>
      <xdr:rowOff>161925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AF70356-8BAD-B1EC-176E-96541EBD8C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yMicroStar" refreshedDate="45891.753831944443" createdVersion="8" refreshedVersion="8" minRefreshableVersion="3" recordCount="100" xr:uid="{F0194648-E26E-4017-A4AA-84A8E32D797D}">
  <cacheSource type="worksheet">
    <worksheetSource name="Tabelle1"/>
  </cacheSource>
  <cacheFields count="27">
    <cacheField name="Produkttyp" numFmtId="0">
      <sharedItems count="3">
        <s v="haircare"/>
        <s v="skincare"/>
        <s v="cosmetics"/>
      </sharedItems>
    </cacheField>
    <cacheField name="Produktname" numFmtId="0">
      <sharedItems count="100">
        <s v="SKU0"/>
        <s v="SKU1"/>
        <s v="SKU2"/>
        <s v="SKU3"/>
        <s v="SKU4"/>
        <s v="SKU5"/>
        <s v="SKU6"/>
        <s v="SKU7"/>
        <s v="SKU8"/>
        <s v="SKU9"/>
        <s v="SKU10"/>
        <s v="SKU11"/>
        <s v="SKU12"/>
        <s v="SKU13"/>
        <s v="SKU14"/>
        <s v="SKU15"/>
        <s v="SKU16"/>
        <s v="SKU17"/>
        <s v="SKU18"/>
        <s v="SKU19"/>
        <s v="SKU20"/>
        <s v="SKU21"/>
        <s v="SKU22"/>
        <s v="SKU23"/>
        <s v="SKU24"/>
        <s v="SKU25"/>
        <s v="SKU26"/>
        <s v="SKU27"/>
        <s v="SKU28"/>
        <s v="SKU29"/>
        <s v="SKU30"/>
        <s v="SKU31"/>
        <s v="SKU32"/>
        <s v="SKU33"/>
        <s v="SKU34"/>
        <s v="SKU35"/>
        <s v="SKU36"/>
        <s v="SKU37"/>
        <s v="SKU38"/>
        <s v="SKU39"/>
        <s v="SKU40"/>
        <s v="SKU41"/>
        <s v="SKU42"/>
        <s v="SKU43"/>
        <s v="SKU44"/>
        <s v="SKU45"/>
        <s v="SKU46"/>
        <s v="SKU47"/>
        <s v="SKU48"/>
        <s v="SKU49"/>
        <s v="SKU50"/>
        <s v="SKU51"/>
        <s v="SKU52"/>
        <s v="SKU53"/>
        <s v="SKU54"/>
        <s v="SKU55"/>
        <s v="SKU56"/>
        <s v="SKU57"/>
        <s v="SKU58"/>
        <s v="SKU59"/>
        <s v="SKU60"/>
        <s v="SKU61"/>
        <s v="SKU62"/>
        <s v="SKU63"/>
        <s v="SKU64"/>
        <s v="SKU65"/>
        <s v="SKU66"/>
        <s v="SKU67"/>
        <s v="SKU68"/>
        <s v="SKU69"/>
        <s v="SKU70"/>
        <s v="SKU71"/>
        <s v="SKU72"/>
        <s v="SKU73"/>
        <s v="SKU74"/>
        <s v="SKU75"/>
        <s v="SKU76"/>
        <s v="SKU77"/>
        <s v="SKU78"/>
        <s v="SKU79"/>
        <s v="SKU80"/>
        <s v="SKU81"/>
        <s v="SKU82"/>
        <s v="SKU83"/>
        <s v="SKU84"/>
        <s v="SKU85"/>
        <s v="SKU86"/>
        <s v="SKU87"/>
        <s v="SKU88"/>
        <s v="SKU89"/>
        <s v="SKU90"/>
        <s v="SKU91"/>
        <s v="SKU92"/>
        <s v="SKU93"/>
        <s v="SKU94"/>
        <s v="SKU95"/>
        <s v="SKU96"/>
        <s v="SKU97"/>
        <s v="SKU98"/>
        <s v="SKU99"/>
      </sharedItems>
    </cacheField>
    <cacheField name="Preis" numFmtId="0">
      <sharedItems containsSemiMixedTypes="0" containsString="0" containsNumber="1" minValue="1.699976014" maxValue="99.171328639999999"/>
    </cacheField>
    <cacheField name="Verfügbarkeit" numFmtId="0">
      <sharedItems containsSemiMixedTypes="0" containsString="0" containsNumber="1" containsInteger="1" minValue="1" maxValue="100"/>
    </cacheField>
    <cacheField name="Anzahl verkaufter Einheiten" numFmtId="0">
      <sharedItems containsSemiMixedTypes="0" containsString="0" containsNumber="1" containsInteger="1" minValue="8" maxValue="996" count="96">
        <n v="802"/>
        <n v="736"/>
        <n v="8"/>
        <n v="83"/>
        <n v="871"/>
        <n v="147"/>
        <n v="65"/>
        <n v="426"/>
        <n v="150"/>
        <n v="980"/>
        <n v="996"/>
        <n v="960"/>
        <n v="336"/>
        <n v="249"/>
        <n v="562"/>
        <n v="469"/>
        <n v="280"/>
        <n v="126"/>
        <n v="620"/>
        <n v="187"/>
        <n v="320"/>
        <n v="601"/>
        <n v="884"/>
        <n v="391"/>
        <n v="209"/>
        <n v="142"/>
        <n v="353"/>
        <n v="352"/>
        <n v="394"/>
        <n v="253"/>
        <n v="327"/>
        <n v="168"/>
        <n v="781"/>
        <n v="616"/>
        <n v="602"/>
        <n v="449"/>
        <n v="963"/>
        <n v="705"/>
        <n v="176"/>
        <n v="933"/>
        <n v="556"/>
        <n v="155"/>
        <n v="598"/>
        <n v="919"/>
        <n v="24"/>
        <n v="859"/>
        <n v="910"/>
        <n v="29"/>
        <n v="99"/>
        <n v="633"/>
        <n v="154"/>
        <n v="820"/>
        <n v="242"/>
        <n v="622"/>
        <n v="701"/>
        <n v="93"/>
        <n v="227"/>
        <n v="896"/>
        <n v="484"/>
        <n v="380"/>
        <n v="117"/>
        <n v="270"/>
        <n v="246"/>
        <n v="134"/>
        <n v="457"/>
        <n v="704"/>
        <n v="513"/>
        <n v="163"/>
        <n v="511"/>
        <n v="32"/>
        <n v="637"/>
        <n v="478"/>
        <n v="375"/>
        <n v="904"/>
        <n v="106"/>
        <n v="241"/>
        <n v="359"/>
        <n v="946"/>
        <n v="198"/>
        <n v="872"/>
        <n v="774"/>
        <n v="663"/>
        <n v="618"/>
        <n v="25"/>
        <n v="223"/>
        <n v="79"/>
        <n v="737"/>
        <n v="916"/>
        <n v="276"/>
        <n v="114"/>
        <n v="987"/>
        <n v="672"/>
        <n v="324"/>
        <n v="62"/>
        <n v="913"/>
        <n v="627"/>
      </sharedItems>
    </cacheField>
    <cacheField name="Umsatz der SKU" numFmtId="0">
      <sharedItems containsSemiMixedTypes="0" containsString="0" containsNumber="1" minValue="1061.6185230000001" maxValue="9866.4654580000006"/>
    </cacheField>
    <cacheField name="Geschlechtsidentität" numFmtId="0">
      <sharedItems count="4">
        <s v="Non-binary"/>
        <s v="Female"/>
        <s v="Unknown"/>
        <s v="Male"/>
      </sharedItems>
    </cacheField>
    <cacheField name="Lagerbestand" numFmtId="0">
      <sharedItems containsSemiMixedTypes="0" containsString="0" containsNumber="1" containsInteger="1" minValue="0" maxValue="100"/>
    </cacheField>
    <cacheField name="Vorlaufzeiten" numFmtId="0">
      <sharedItems containsSemiMixedTypes="0" containsString="0" containsNumber="1" containsInteger="1" minValue="1" maxValue="30"/>
    </cacheField>
    <cacheField name="Bestellquantität" numFmtId="0">
      <sharedItems containsSemiMixedTypes="0" containsString="0" containsNumber="1" containsInteger="1" minValue="1" maxValue="96"/>
    </cacheField>
    <cacheField name="Versanddauer" numFmtId="0">
      <sharedItems containsSemiMixedTypes="0" containsString="0" containsNumber="1" containsInteger="1" minValue="1" maxValue="10"/>
    </cacheField>
    <cacheField name="Versanddienstleister" numFmtId="0">
      <sharedItems count="3">
        <s v="Carrier B"/>
        <s v="Carrier A"/>
        <s v="Carrier C"/>
      </sharedItems>
    </cacheField>
    <cacheField name="Versankosten" numFmtId="0">
      <sharedItems containsSemiMixedTypes="0" containsString="0" containsNumber="1" minValue="1.0134865660000001" maxValue="9.9298162449999996"/>
    </cacheField>
    <cacheField name="Lieferant" numFmtId="0">
      <sharedItems count="5">
        <s v="Supplier 3"/>
        <s v="Supplier 1"/>
        <s v="Supplier 5"/>
        <s v="Supplier 4"/>
        <s v="Supplier 2"/>
      </sharedItems>
    </cacheField>
    <cacheField name="Standort" numFmtId="0">
      <sharedItems count="5">
        <s v="Mumbai"/>
        <s v="Kolkata"/>
        <s v="Delhi"/>
        <s v="Bangalore"/>
        <s v="Chennai"/>
      </sharedItems>
    </cacheField>
    <cacheField name="Vorlaufzeit" numFmtId="0">
      <sharedItems containsSemiMixedTypes="0" containsString="0" containsNumber="1" containsInteger="1" minValue="1" maxValue="30"/>
    </cacheField>
    <cacheField name="Produktionsmenge" numFmtId="0">
      <sharedItems containsSemiMixedTypes="0" containsString="0" containsNumber="1" containsInteger="1" minValue="104" maxValue="985"/>
    </cacheField>
    <cacheField name="Herstellungszeit" numFmtId="0">
      <sharedItems containsSemiMixedTypes="0" containsString="0" containsNumber="1" containsInteger="1" minValue="1" maxValue="30"/>
    </cacheField>
    <cacheField name="Herstellungskosten" numFmtId="0">
      <sharedItems containsSemiMixedTypes="0" containsString="0" containsNumber="1" minValue="1.08506857" maxValue="99.466108599999998"/>
    </cacheField>
    <cacheField name="Ergebnis der Qualitätskontrolle" numFmtId="0">
      <sharedItems count="3">
        <s v="Pending"/>
        <s v="Fail"/>
        <s v="Pass"/>
      </sharedItems>
    </cacheField>
    <cacheField name="Fehlerquote" numFmtId="0">
      <sharedItems containsSemiMixedTypes="0" containsString="0" containsNumber="1" minValue="1.8607568000000001E-2" maxValue="4.9392552890000001" count="100">
        <n v="0.226410361"/>
        <n v="4.8540680260000002"/>
        <n v="4.5805926189999999"/>
        <n v="4.7466486210000003"/>
        <n v="3.1455795229999999"/>
        <n v="2.779193512"/>
        <n v="1.0009106189999999"/>
        <n v="0.39817718699999999"/>
        <n v="2.7098626910000001"/>
        <n v="3.8446144790000001"/>
        <n v="1.7273139280000001"/>
        <n v="2.1169820999999998E-2"/>
        <n v="2.161253748"/>
        <n v="1.6310742300000001"/>
        <n v="0.100682852"/>
        <n v="2.2644057609999999"/>
        <n v="1.0125630889999999"/>
        <n v="0.102020755"/>
        <n v="2.231939111"/>
        <n v="3.6464508649999998"/>
        <n v="4.2314165739999998"/>
        <n v="1.8607568000000001E-2"/>
        <n v="2.5912754730000001"/>
        <n v="1.3422915630000001"/>
        <n v="3.6913102929999999"/>
        <n v="3.7972312170000002"/>
        <n v="2.1193197370000001"/>
        <n v="2.8646678379999999"/>
        <n v="0.81575707900000005"/>
        <n v="3.8780989369999999"/>
        <n v="0.96539470500000002"/>
        <n v="2.989000007"/>
        <n v="1.946036119"/>
        <n v="3.5410460119999998"/>
        <n v="0.64660455900000002"/>
        <n v="0.54115409800000003"/>
        <n v="3.8055333789999999"/>
        <n v="2.6102880850000001"/>
        <n v="0.61332689900000004"/>
        <n v="1.451972204"/>
        <n v="4.2132694309999996"/>
        <n v="4.5302262000000003E-2"/>
        <n v="4.9392552890000001"/>
        <n v="0.37230476800000001"/>
        <n v="2.96262632"/>
        <n v="3.2196046119999999"/>
        <n v="3.6486105929999999"/>
        <n v="0.38057358699999999"/>
        <n v="1.698112541"/>
        <n v="2.8258139849999999"/>
        <n v="4.7548008050000004"/>
        <n v="1.772951172"/>
        <n v="2.1224716190000001"/>
        <n v="1.4103475759999999"/>
        <n v="2.478771976"/>
        <n v="4.5489196590000001"/>
        <n v="1.173755495"/>
        <n v="2.5111748299999999"/>
        <n v="1.7303747199999999"/>
        <n v="0.447194015"/>
        <n v="2.8530906169999999"/>
        <n v="4.3674705380000001"/>
        <n v="1.8740014039999999"/>
        <n v="3.6328432899999998"/>
        <n v="0.15948631499999999"/>
        <n v="4.9110959550000004"/>
        <n v="3.4480632880000002"/>
        <n v="0.13195544400000001"/>
        <n v="1.9834678720000001"/>
        <n v="1.3623879889999999"/>
        <n v="1.8305755990000001"/>
        <n v="2.078750608"/>
        <n v="3.2133296069999999"/>
        <n v="4.6205460650000001"/>
        <n v="0.39661272400000003"/>
        <n v="2.0300690889999999"/>
        <n v="2.1800374520000001"/>
        <n v="3.0551418180000001"/>
        <n v="4.0968813319999997"/>
        <n v="0.16587162699999999"/>
        <n v="2.849662199"/>
        <n v="2.5475471220000001"/>
        <n v="4.1378770490000001"/>
        <n v="0.77300613399999996"/>
        <n v="4.8434565770000004"/>
        <n v="1.3744289999999999"/>
        <n v="2.051512931"/>
        <n v="3.693737788"/>
        <n v="0.72220440200000002"/>
        <n v="1.9076657340000001"/>
        <n v="1.2193822240000001"/>
        <n v="0.62600185799999997"/>
        <n v="0.33343182500000002"/>
        <n v="4.165781795"/>
        <n v="1.463607498"/>
        <n v="1.2108821299999999"/>
        <n v="3.8720476810000002"/>
        <n v="3.376237835"/>
        <n v="2.9081221689999999"/>
        <n v="0.34602729100000001"/>
      </sharedItems>
    </cacheField>
    <cacheField name="Transportmittel" numFmtId="0">
      <sharedItems count="4">
        <s v="Road"/>
        <s v="Air"/>
        <s v="Rail"/>
        <s v="Sea"/>
      </sharedItems>
    </cacheField>
    <cacheField name="Route" numFmtId="0">
      <sharedItems count="3">
        <s v="Route B"/>
        <s v="Route C"/>
        <s v="Route A"/>
      </sharedItems>
    </cacheField>
    <cacheField name="Kosten" numFmtId="0">
      <sharedItems containsSemiMixedTypes="0" containsString="0" containsNumber="1" minValue="103.916248" maxValue="997.41345009999998"/>
    </cacheField>
    <cacheField name="Anteil am Sortiment" numFmtId="0" formula="Produktname" databaseField="0"/>
    <cacheField name="Anteil am Sortiment " numFmtId="0" formula="Produktname" databaseField="0"/>
    <cacheField name="Aanteil am Sortiment" numFmtId="0" formula="Produktname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n v="69.808005539999996"/>
    <n v="55"/>
    <x v="0"/>
    <n v="8661.9967919999999"/>
    <x v="0"/>
    <n v="58"/>
    <n v="7"/>
    <n v="96"/>
    <n v="4"/>
    <x v="0"/>
    <n v="2.9565721389999999"/>
    <x v="0"/>
    <x v="0"/>
    <n v="29"/>
    <n v="215"/>
    <n v="29"/>
    <n v="46.27987924"/>
    <x v="0"/>
    <x v="0"/>
    <x v="0"/>
    <x v="0"/>
    <n v="187.75207549999999"/>
  </r>
  <r>
    <x v="1"/>
    <x v="1"/>
    <n v="14.843523279999999"/>
    <n v="95"/>
    <x v="1"/>
    <n v="7460.9000649999998"/>
    <x v="1"/>
    <n v="53"/>
    <n v="30"/>
    <n v="37"/>
    <n v="2"/>
    <x v="1"/>
    <n v="9.7165747709999994"/>
    <x v="0"/>
    <x v="0"/>
    <n v="23"/>
    <n v="517"/>
    <n v="30"/>
    <n v="33.616768950000001"/>
    <x v="0"/>
    <x v="1"/>
    <x v="0"/>
    <x v="0"/>
    <n v="503.06557909999998"/>
  </r>
  <r>
    <x v="0"/>
    <x v="2"/>
    <n v="11.31968329"/>
    <n v="34"/>
    <x v="2"/>
    <n v="9577.7496260000007"/>
    <x v="2"/>
    <n v="1"/>
    <n v="10"/>
    <n v="88"/>
    <n v="2"/>
    <x v="0"/>
    <n v="8.0544792619999992"/>
    <x v="1"/>
    <x v="0"/>
    <n v="12"/>
    <n v="971"/>
    <n v="27"/>
    <n v="30.688019350000001"/>
    <x v="0"/>
    <x v="2"/>
    <x v="1"/>
    <x v="1"/>
    <n v="141.9202818"/>
  </r>
  <r>
    <x v="1"/>
    <x v="3"/>
    <n v="61.163343019999999"/>
    <n v="68"/>
    <x v="3"/>
    <n v="7766.8364259999998"/>
    <x v="0"/>
    <n v="23"/>
    <n v="13"/>
    <n v="59"/>
    <n v="6"/>
    <x v="2"/>
    <n v="1.729568564"/>
    <x v="2"/>
    <x v="1"/>
    <n v="24"/>
    <n v="937"/>
    <n v="18"/>
    <n v="35.624741399999998"/>
    <x v="1"/>
    <x v="3"/>
    <x v="2"/>
    <x v="2"/>
    <n v="254.7761592"/>
  </r>
  <r>
    <x v="1"/>
    <x v="4"/>
    <n v="4.8054960360000001"/>
    <n v="26"/>
    <x v="4"/>
    <n v="2686.5051520000002"/>
    <x v="0"/>
    <n v="5"/>
    <n v="3"/>
    <n v="56"/>
    <n v="8"/>
    <x v="1"/>
    <n v="3.8905479160000001"/>
    <x v="1"/>
    <x v="2"/>
    <n v="5"/>
    <n v="414"/>
    <n v="3"/>
    <n v="92.065160599999999"/>
    <x v="1"/>
    <x v="4"/>
    <x v="1"/>
    <x v="2"/>
    <n v="923.44063170000004"/>
  </r>
  <r>
    <x v="0"/>
    <x v="5"/>
    <n v="1.699976014"/>
    <n v="87"/>
    <x v="5"/>
    <n v="2828.3487460000001"/>
    <x v="0"/>
    <n v="90"/>
    <n v="27"/>
    <n v="66"/>
    <n v="3"/>
    <x v="0"/>
    <n v="4.4440988639999999"/>
    <x v="3"/>
    <x v="3"/>
    <n v="10"/>
    <n v="104"/>
    <n v="17"/>
    <n v="56.766475560000003"/>
    <x v="1"/>
    <x v="5"/>
    <x v="0"/>
    <x v="2"/>
    <n v="235.4612367"/>
  </r>
  <r>
    <x v="1"/>
    <x v="6"/>
    <n v="4.078332863"/>
    <n v="48"/>
    <x v="6"/>
    <n v="7823.4765600000001"/>
    <x v="3"/>
    <n v="11"/>
    <n v="15"/>
    <n v="58"/>
    <n v="8"/>
    <x v="2"/>
    <n v="3.8807633030000002"/>
    <x v="0"/>
    <x v="1"/>
    <n v="14"/>
    <n v="314"/>
    <n v="24"/>
    <n v="1.08506857"/>
    <x v="0"/>
    <x v="6"/>
    <x v="3"/>
    <x v="2"/>
    <n v="134.36909689999999"/>
  </r>
  <r>
    <x v="2"/>
    <x v="7"/>
    <n v="42.958384379999998"/>
    <n v="59"/>
    <x v="7"/>
    <n v="8496.1038129999997"/>
    <x v="1"/>
    <n v="93"/>
    <n v="17"/>
    <n v="11"/>
    <n v="1"/>
    <x v="0"/>
    <n v="2.3483387840000001"/>
    <x v="3"/>
    <x v="3"/>
    <n v="22"/>
    <n v="564"/>
    <n v="1"/>
    <n v="99.466108599999998"/>
    <x v="1"/>
    <x v="7"/>
    <x v="0"/>
    <x v="1"/>
    <n v="802.0563118"/>
  </r>
  <r>
    <x v="2"/>
    <x v="8"/>
    <n v="68.717596749999998"/>
    <n v="78"/>
    <x v="8"/>
    <n v="7517.3632109999999"/>
    <x v="1"/>
    <n v="5"/>
    <n v="10"/>
    <n v="15"/>
    <n v="7"/>
    <x v="2"/>
    <n v="3.4047338570000001"/>
    <x v="3"/>
    <x v="0"/>
    <n v="13"/>
    <n v="769"/>
    <n v="8"/>
    <n v="11.42302714"/>
    <x v="0"/>
    <x v="8"/>
    <x v="3"/>
    <x v="0"/>
    <n v="505.55713420000001"/>
  </r>
  <r>
    <x v="1"/>
    <x v="9"/>
    <n v="64.015732940000007"/>
    <n v="35"/>
    <x v="9"/>
    <n v="4971.1459880000002"/>
    <x v="2"/>
    <n v="14"/>
    <n v="27"/>
    <n v="83"/>
    <n v="1"/>
    <x v="1"/>
    <n v="7.166645291"/>
    <x v="4"/>
    <x v="4"/>
    <n v="29"/>
    <n v="963"/>
    <n v="23"/>
    <n v="47.957601629999999"/>
    <x v="0"/>
    <x v="9"/>
    <x v="2"/>
    <x v="0"/>
    <n v="995.9294615"/>
  </r>
  <r>
    <x v="1"/>
    <x v="10"/>
    <n v="15.70779568"/>
    <n v="11"/>
    <x v="10"/>
    <n v="2330.9658020000002"/>
    <x v="0"/>
    <n v="51"/>
    <n v="13"/>
    <n v="80"/>
    <n v="2"/>
    <x v="2"/>
    <n v="8.6732112109999999"/>
    <x v="2"/>
    <x v="1"/>
    <n v="18"/>
    <n v="830"/>
    <n v="5"/>
    <n v="96.527352789999995"/>
    <x v="2"/>
    <x v="10"/>
    <x v="0"/>
    <x v="0"/>
    <n v="806.10317769999995"/>
  </r>
  <r>
    <x v="1"/>
    <x v="11"/>
    <n v="90.635459979999993"/>
    <n v="95"/>
    <x v="11"/>
    <n v="6099.9441159999997"/>
    <x v="1"/>
    <n v="46"/>
    <n v="23"/>
    <n v="60"/>
    <n v="1"/>
    <x v="1"/>
    <n v="4.5239431239999996"/>
    <x v="4"/>
    <x v="1"/>
    <n v="28"/>
    <n v="362"/>
    <n v="11"/>
    <n v="27.592363089999999"/>
    <x v="0"/>
    <x v="11"/>
    <x v="1"/>
    <x v="2"/>
    <n v="126.72303340000001"/>
  </r>
  <r>
    <x v="0"/>
    <x v="12"/>
    <n v="71.213389079999999"/>
    <n v="41"/>
    <x v="12"/>
    <n v="2873.741446"/>
    <x v="2"/>
    <n v="100"/>
    <n v="30"/>
    <n v="85"/>
    <n v="4"/>
    <x v="1"/>
    <n v="1.32527401"/>
    <x v="3"/>
    <x v="1"/>
    <n v="3"/>
    <n v="563"/>
    <n v="3"/>
    <n v="32.321286209999997"/>
    <x v="1"/>
    <x v="12"/>
    <x v="0"/>
    <x v="0"/>
    <n v="402.96878909999998"/>
  </r>
  <r>
    <x v="1"/>
    <x v="13"/>
    <n v="16.160393320000001"/>
    <n v="5"/>
    <x v="13"/>
    <n v="4052.7384160000001"/>
    <x v="3"/>
    <n v="80"/>
    <n v="8"/>
    <n v="48"/>
    <n v="9"/>
    <x v="1"/>
    <n v="9.5372830610000001"/>
    <x v="2"/>
    <x v="3"/>
    <n v="23"/>
    <n v="173"/>
    <n v="10"/>
    <n v="97.829050109999997"/>
    <x v="0"/>
    <x v="13"/>
    <x v="0"/>
    <x v="0"/>
    <n v="547.24100520000002"/>
  </r>
  <r>
    <x v="1"/>
    <x v="14"/>
    <n v="99.171328639999999"/>
    <n v="26"/>
    <x v="14"/>
    <n v="8653.5709260000003"/>
    <x v="0"/>
    <n v="54"/>
    <n v="29"/>
    <n v="78"/>
    <n v="5"/>
    <x v="0"/>
    <n v="2.039770189"/>
    <x v="1"/>
    <x v="1"/>
    <n v="25"/>
    <n v="558"/>
    <n v="14"/>
    <n v="5.7914366299999998"/>
    <x v="0"/>
    <x v="14"/>
    <x v="1"/>
    <x v="0"/>
    <n v="929.23528999999996"/>
  </r>
  <r>
    <x v="1"/>
    <x v="15"/>
    <n v="36.989244929999998"/>
    <n v="94"/>
    <x v="15"/>
    <n v="5442.0867850000004"/>
    <x v="0"/>
    <n v="9"/>
    <n v="8"/>
    <n v="69"/>
    <n v="7"/>
    <x v="0"/>
    <n v="2.4220397230000001"/>
    <x v="1"/>
    <x v="3"/>
    <n v="14"/>
    <n v="580"/>
    <n v="7"/>
    <n v="97.121281749999994"/>
    <x v="2"/>
    <x v="15"/>
    <x v="3"/>
    <x v="0"/>
    <n v="127.8618"/>
  </r>
  <r>
    <x v="1"/>
    <x v="16"/>
    <n v="7.54717211"/>
    <n v="74"/>
    <x v="16"/>
    <n v="6453.7979679999999"/>
    <x v="1"/>
    <n v="2"/>
    <n v="5"/>
    <n v="78"/>
    <n v="1"/>
    <x v="0"/>
    <n v="4.1913245860000004"/>
    <x v="1"/>
    <x v="3"/>
    <n v="3"/>
    <n v="399"/>
    <n v="21"/>
    <n v="77.106342499999997"/>
    <x v="2"/>
    <x v="16"/>
    <x v="1"/>
    <x v="2"/>
    <n v="865.52577980000001"/>
  </r>
  <r>
    <x v="2"/>
    <x v="17"/>
    <n v="81.46253437"/>
    <n v="82"/>
    <x v="17"/>
    <n v="2629.3964350000001"/>
    <x v="1"/>
    <n v="45"/>
    <n v="17"/>
    <n v="85"/>
    <n v="9"/>
    <x v="2"/>
    <n v="3.585418958"/>
    <x v="1"/>
    <x v="4"/>
    <n v="7"/>
    <n v="453"/>
    <n v="16"/>
    <n v="47.67968037"/>
    <x v="1"/>
    <x v="17"/>
    <x v="1"/>
    <x v="1"/>
    <n v="670.93439079999996"/>
  </r>
  <r>
    <x v="0"/>
    <x v="18"/>
    <n v="36.443627769999999"/>
    <n v="23"/>
    <x v="18"/>
    <n v="9364.6735050000007"/>
    <x v="2"/>
    <n v="10"/>
    <n v="10"/>
    <n v="46"/>
    <n v="8"/>
    <x v="2"/>
    <n v="4.3392247140000002"/>
    <x v="4"/>
    <x v="1"/>
    <n v="18"/>
    <n v="374"/>
    <n v="17"/>
    <n v="27.107980850000001"/>
    <x v="0"/>
    <x v="18"/>
    <x v="3"/>
    <x v="2"/>
    <n v="593.48025870000004"/>
  </r>
  <r>
    <x v="1"/>
    <x v="19"/>
    <n v="51.123870089999997"/>
    <n v="100"/>
    <x v="19"/>
    <n v="2553.4955850000001"/>
    <x v="2"/>
    <n v="48"/>
    <n v="11"/>
    <n v="94"/>
    <n v="3"/>
    <x v="1"/>
    <n v="4.7426358830000002"/>
    <x v="3"/>
    <x v="4"/>
    <n v="20"/>
    <n v="694"/>
    <n v="16"/>
    <n v="82.373320590000006"/>
    <x v="1"/>
    <x v="19"/>
    <x v="0"/>
    <x v="1"/>
    <n v="477.30763109999998"/>
  </r>
  <r>
    <x v="1"/>
    <x v="20"/>
    <n v="96.341072440000005"/>
    <n v="22"/>
    <x v="20"/>
    <n v="8128.0276970000004"/>
    <x v="2"/>
    <n v="27"/>
    <n v="12"/>
    <n v="68"/>
    <n v="6"/>
    <x v="1"/>
    <n v="8.8783346509999994"/>
    <x v="1"/>
    <x v="4"/>
    <n v="29"/>
    <n v="309"/>
    <n v="6"/>
    <n v="65.686259609999993"/>
    <x v="2"/>
    <x v="20"/>
    <x v="1"/>
    <x v="0"/>
    <n v="493.87121530000002"/>
  </r>
  <r>
    <x v="2"/>
    <x v="21"/>
    <n v="84.893868979999993"/>
    <n v="60"/>
    <x v="21"/>
    <n v="7087.0526959999997"/>
    <x v="2"/>
    <n v="69"/>
    <n v="25"/>
    <n v="7"/>
    <n v="6"/>
    <x v="0"/>
    <n v="6.0378837689999996"/>
    <x v="2"/>
    <x v="4"/>
    <n v="19"/>
    <n v="791"/>
    <n v="4"/>
    <n v="61.735728950000002"/>
    <x v="0"/>
    <x v="21"/>
    <x v="1"/>
    <x v="1"/>
    <n v="523.36091469999997"/>
  </r>
  <r>
    <x v="0"/>
    <x v="22"/>
    <n v="27.67978089"/>
    <n v="55"/>
    <x v="22"/>
    <n v="2390.807867"/>
    <x v="2"/>
    <n v="71"/>
    <n v="1"/>
    <n v="63"/>
    <n v="10"/>
    <x v="1"/>
    <n v="9.567648921"/>
    <x v="3"/>
    <x v="1"/>
    <n v="22"/>
    <n v="780"/>
    <n v="28"/>
    <n v="50.120839609999997"/>
    <x v="1"/>
    <x v="22"/>
    <x v="2"/>
    <x v="1"/>
    <n v="205.5719958"/>
  </r>
  <r>
    <x v="2"/>
    <x v="23"/>
    <n v="4.3243411859999998"/>
    <n v="30"/>
    <x v="23"/>
    <n v="8858.3675710000007"/>
    <x v="2"/>
    <n v="84"/>
    <n v="5"/>
    <n v="29"/>
    <n v="7"/>
    <x v="1"/>
    <n v="2.9248576009999998"/>
    <x v="2"/>
    <x v="1"/>
    <n v="11"/>
    <n v="568"/>
    <n v="29"/>
    <n v="98.60995724"/>
    <x v="0"/>
    <x v="23"/>
    <x v="2"/>
    <x v="2"/>
    <n v="196.32944610000001"/>
  </r>
  <r>
    <x v="0"/>
    <x v="24"/>
    <n v="4.1563083589999996"/>
    <n v="32"/>
    <x v="24"/>
    <n v="9049.0778609999998"/>
    <x v="3"/>
    <n v="4"/>
    <n v="26"/>
    <n v="2"/>
    <n v="8"/>
    <x v="2"/>
    <n v="9.7412916890000005"/>
    <x v="4"/>
    <x v="3"/>
    <n v="28"/>
    <n v="447"/>
    <n v="3"/>
    <n v="40.382359700000002"/>
    <x v="0"/>
    <x v="24"/>
    <x v="1"/>
    <x v="2"/>
    <n v="758.72477260000005"/>
  </r>
  <r>
    <x v="0"/>
    <x v="25"/>
    <n v="39.629343990000002"/>
    <n v="73"/>
    <x v="25"/>
    <n v="2174.7770540000001"/>
    <x v="3"/>
    <n v="82"/>
    <n v="11"/>
    <n v="52"/>
    <n v="3"/>
    <x v="2"/>
    <n v="2.2310736809999998"/>
    <x v="3"/>
    <x v="1"/>
    <n v="19"/>
    <n v="934"/>
    <n v="23"/>
    <n v="78.280383119999996"/>
    <x v="0"/>
    <x v="25"/>
    <x v="0"/>
    <x v="0"/>
    <n v="458.53594570000001"/>
  </r>
  <r>
    <x v="0"/>
    <x v="26"/>
    <n v="97.446946620000006"/>
    <n v="9"/>
    <x v="26"/>
    <n v="3716.4933259999998"/>
    <x v="3"/>
    <n v="59"/>
    <n v="16"/>
    <n v="48"/>
    <n v="4"/>
    <x v="0"/>
    <n v="6.5075486209999998"/>
    <x v="4"/>
    <x v="3"/>
    <n v="26"/>
    <n v="171"/>
    <n v="4"/>
    <n v="15.972229759999999"/>
    <x v="2"/>
    <x v="26"/>
    <x v="2"/>
    <x v="2"/>
    <n v="617.8669165"/>
  </r>
  <r>
    <x v="2"/>
    <x v="27"/>
    <n v="92.557360810000006"/>
    <n v="42"/>
    <x v="27"/>
    <n v="2686.4572240000002"/>
    <x v="2"/>
    <n v="47"/>
    <n v="9"/>
    <n v="62"/>
    <n v="8"/>
    <x v="2"/>
    <n v="7.4067509530000004"/>
    <x v="2"/>
    <x v="0"/>
    <n v="25"/>
    <n v="291"/>
    <n v="4"/>
    <n v="10.528245070000001"/>
    <x v="1"/>
    <x v="27"/>
    <x v="3"/>
    <x v="0"/>
    <n v="762.45918219999999"/>
  </r>
  <r>
    <x v="2"/>
    <x v="28"/>
    <n v="2.3972747060000001"/>
    <n v="12"/>
    <x v="28"/>
    <n v="6117.3246150000004"/>
    <x v="1"/>
    <n v="48"/>
    <n v="15"/>
    <n v="24"/>
    <n v="4"/>
    <x v="0"/>
    <n v="9.8981405079999991"/>
    <x v="1"/>
    <x v="0"/>
    <n v="13"/>
    <n v="171"/>
    <n v="7"/>
    <n v="59.429381810000002"/>
    <x v="1"/>
    <x v="28"/>
    <x v="1"/>
    <x v="2"/>
    <n v="123.4370275"/>
  </r>
  <r>
    <x v="2"/>
    <x v="29"/>
    <n v="63.44755919"/>
    <n v="3"/>
    <x v="29"/>
    <n v="8318.9031950000008"/>
    <x v="1"/>
    <n v="45"/>
    <n v="5"/>
    <n v="67"/>
    <n v="7"/>
    <x v="0"/>
    <n v="8.1009731449999993"/>
    <x v="1"/>
    <x v="1"/>
    <n v="16"/>
    <n v="329"/>
    <n v="7"/>
    <n v="39.292875590000001"/>
    <x v="2"/>
    <x v="29"/>
    <x v="0"/>
    <x v="0"/>
    <n v="764.93537590000005"/>
  </r>
  <r>
    <x v="0"/>
    <x v="30"/>
    <n v="8.0228592110000001"/>
    <n v="10"/>
    <x v="30"/>
    <n v="2766.3423670000002"/>
    <x v="3"/>
    <n v="60"/>
    <n v="26"/>
    <n v="35"/>
    <n v="7"/>
    <x v="0"/>
    <n v="8.9545283149999992"/>
    <x v="3"/>
    <x v="1"/>
    <n v="27"/>
    <n v="806"/>
    <n v="30"/>
    <n v="51.634893400000003"/>
    <x v="0"/>
    <x v="30"/>
    <x v="0"/>
    <x v="1"/>
    <n v="880.08098819999998"/>
  </r>
  <r>
    <x v="1"/>
    <x v="31"/>
    <n v="50.847393050000001"/>
    <n v="28"/>
    <x v="31"/>
    <n v="9655.1351030000005"/>
    <x v="3"/>
    <n v="6"/>
    <n v="17"/>
    <n v="44"/>
    <n v="4"/>
    <x v="0"/>
    <n v="2.6796609650000001"/>
    <x v="0"/>
    <x v="4"/>
    <n v="24"/>
    <n v="461"/>
    <n v="8"/>
    <n v="60.251145659999999"/>
    <x v="0"/>
    <x v="31"/>
    <x v="2"/>
    <x v="1"/>
    <n v="609.37920659999997"/>
  </r>
  <r>
    <x v="1"/>
    <x v="32"/>
    <n v="79.209936020000001"/>
    <n v="43"/>
    <x v="32"/>
    <n v="9571.5504870000004"/>
    <x v="2"/>
    <n v="89"/>
    <n v="13"/>
    <n v="64"/>
    <n v="4"/>
    <x v="2"/>
    <n v="6.5991049009999996"/>
    <x v="0"/>
    <x v="1"/>
    <n v="30"/>
    <n v="737"/>
    <n v="7"/>
    <n v="29.692467149999999"/>
    <x v="2"/>
    <x v="32"/>
    <x v="0"/>
    <x v="2"/>
    <n v="761.17390950000004"/>
  </r>
  <r>
    <x v="2"/>
    <x v="33"/>
    <n v="64.795434999999998"/>
    <n v="63"/>
    <x v="33"/>
    <n v="5149.9983499999998"/>
    <x v="0"/>
    <n v="4"/>
    <n v="17"/>
    <n v="95"/>
    <n v="9"/>
    <x v="2"/>
    <n v="4.858270503"/>
    <x v="2"/>
    <x v="4"/>
    <n v="1"/>
    <n v="251"/>
    <n v="23"/>
    <n v="23.85342751"/>
    <x v="1"/>
    <x v="33"/>
    <x v="3"/>
    <x v="2"/>
    <n v="371.25529549999999"/>
  </r>
  <r>
    <x v="1"/>
    <x v="34"/>
    <n v="37.467592330000002"/>
    <n v="96"/>
    <x v="34"/>
    <n v="9061.7108960000005"/>
    <x v="2"/>
    <n v="1"/>
    <n v="26"/>
    <n v="21"/>
    <n v="7"/>
    <x v="1"/>
    <n v="1.019487571"/>
    <x v="1"/>
    <x v="4"/>
    <n v="4"/>
    <n v="452"/>
    <n v="10"/>
    <n v="10.754272820000001"/>
    <x v="2"/>
    <x v="34"/>
    <x v="0"/>
    <x v="0"/>
    <n v="510.35800039999998"/>
  </r>
  <r>
    <x v="2"/>
    <x v="35"/>
    <n v="84.957786819999995"/>
    <n v="11"/>
    <x v="35"/>
    <n v="6541.3293450000001"/>
    <x v="1"/>
    <n v="42"/>
    <n v="27"/>
    <n v="85"/>
    <n v="8"/>
    <x v="2"/>
    <n v="5.2881899900000002"/>
    <x v="1"/>
    <x v="2"/>
    <n v="3"/>
    <n v="367"/>
    <n v="2"/>
    <n v="58.004787039999997"/>
    <x v="2"/>
    <x v="35"/>
    <x v="3"/>
    <x v="1"/>
    <n v="553.42047119999995"/>
  </r>
  <r>
    <x v="1"/>
    <x v="36"/>
    <n v="9.8130025790000008"/>
    <n v="34"/>
    <x v="36"/>
    <n v="7573.4024579999996"/>
    <x v="1"/>
    <n v="18"/>
    <n v="23"/>
    <n v="28"/>
    <n v="3"/>
    <x v="0"/>
    <n v="2.1079512669999998"/>
    <x v="4"/>
    <x v="2"/>
    <n v="26"/>
    <n v="671"/>
    <n v="19"/>
    <n v="45.531364240000002"/>
    <x v="1"/>
    <x v="36"/>
    <x v="1"/>
    <x v="1"/>
    <n v="403.80897420000002"/>
  </r>
  <r>
    <x v="1"/>
    <x v="37"/>
    <n v="23.39984475"/>
    <n v="5"/>
    <x v="36"/>
    <n v="2438.3399300000001"/>
    <x v="1"/>
    <n v="25"/>
    <n v="8"/>
    <n v="21"/>
    <n v="9"/>
    <x v="1"/>
    <n v="1.5326552739999999"/>
    <x v="0"/>
    <x v="1"/>
    <n v="24"/>
    <n v="867"/>
    <n v="15"/>
    <n v="34.343277469999997"/>
    <x v="0"/>
    <x v="37"/>
    <x v="3"/>
    <x v="2"/>
    <n v="183.93296799999999"/>
  </r>
  <r>
    <x v="2"/>
    <x v="38"/>
    <n v="52.075930679999999"/>
    <n v="75"/>
    <x v="37"/>
    <n v="9692.3180400000001"/>
    <x v="0"/>
    <n v="69"/>
    <n v="1"/>
    <n v="88"/>
    <n v="5"/>
    <x v="0"/>
    <n v="9.2359314369999996"/>
    <x v="2"/>
    <x v="0"/>
    <n v="10"/>
    <n v="841"/>
    <n v="12"/>
    <n v="5.9306936459999999"/>
    <x v="0"/>
    <x v="38"/>
    <x v="1"/>
    <x v="0"/>
    <n v="339.67286990000002"/>
  </r>
  <r>
    <x v="1"/>
    <x v="39"/>
    <n v="19.12747727"/>
    <n v="26"/>
    <x v="38"/>
    <n v="1912.4656629999999"/>
    <x v="1"/>
    <n v="78"/>
    <n v="29"/>
    <n v="34"/>
    <n v="3"/>
    <x v="1"/>
    <n v="5.562503779"/>
    <x v="4"/>
    <x v="1"/>
    <n v="30"/>
    <n v="791"/>
    <n v="6"/>
    <n v="9.0058074290000008"/>
    <x v="1"/>
    <x v="39"/>
    <x v="1"/>
    <x v="0"/>
    <n v="653.67299460000004"/>
  </r>
  <r>
    <x v="1"/>
    <x v="40"/>
    <n v="80.541424169999999"/>
    <n v="97"/>
    <x v="39"/>
    <n v="5724.9593500000001"/>
    <x v="1"/>
    <n v="90"/>
    <n v="20"/>
    <n v="39"/>
    <n v="8"/>
    <x v="2"/>
    <n v="7.2295951399999998"/>
    <x v="1"/>
    <x v="1"/>
    <n v="18"/>
    <n v="793"/>
    <n v="1"/>
    <n v="88.179407100000006"/>
    <x v="0"/>
    <x v="40"/>
    <x v="0"/>
    <x v="2"/>
    <n v="529.80872399999998"/>
  </r>
  <r>
    <x v="1"/>
    <x v="41"/>
    <n v="99.113291619999998"/>
    <n v="35"/>
    <x v="40"/>
    <n v="5521.2052590000003"/>
    <x v="1"/>
    <n v="64"/>
    <n v="19"/>
    <n v="38"/>
    <n v="8"/>
    <x v="0"/>
    <n v="5.7732637440000003"/>
    <x v="3"/>
    <x v="4"/>
    <n v="18"/>
    <n v="892"/>
    <n v="7"/>
    <n v="95.332064549999998"/>
    <x v="1"/>
    <x v="41"/>
    <x v="3"/>
    <x v="2"/>
    <n v="275.5243711"/>
  </r>
  <r>
    <x v="1"/>
    <x v="42"/>
    <n v="46.529167610000002"/>
    <n v="98"/>
    <x v="41"/>
    <n v="1839.609426"/>
    <x v="1"/>
    <n v="22"/>
    <n v="27"/>
    <n v="57"/>
    <n v="4"/>
    <x v="2"/>
    <n v="7.5262483270000002"/>
    <x v="2"/>
    <x v="3"/>
    <n v="26"/>
    <n v="179"/>
    <n v="7"/>
    <n v="96.422820639999998"/>
    <x v="1"/>
    <x v="42"/>
    <x v="0"/>
    <x v="2"/>
    <n v="635.65712050000002"/>
  </r>
  <r>
    <x v="0"/>
    <x v="43"/>
    <n v="11.743271780000001"/>
    <n v="6"/>
    <x v="42"/>
    <n v="5737.4255990000001"/>
    <x v="2"/>
    <n v="36"/>
    <n v="29"/>
    <n v="85"/>
    <n v="9"/>
    <x v="0"/>
    <n v="3.6940212680000002"/>
    <x v="2"/>
    <x v="0"/>
    <n v="1"/>
    <n v="206"/>
    <n v="23"/>
    <n v="26.277365960000001"/>
    <x v="0"/>
    <x v="43"/>
    <x v="1"/>
    <x v="2"/>
    <n v="716.04411979999998"/>
  </r>
  <r>
    <x v="2"/>
    <x v="44"/>
    <n v="51.355790910000003"/>
    <n v="34"/>
    <x v="43"/>
    <n v="7152.2860490000003"/>
    <x v="1"/>
    <n v="13"/>
    <n v="19"/>
    <n v="72"/>
    <n v="6"/>
    <x v="2"/>
    <n v="7.5774496569999998"/>
    <x v="4"/>
    <x v="2"/>
    <n v="7"/>
    <n v="834"/>
    <n v="18"/>
    <n v="22.554106619999999"/>
    <x v="1"/>
    <x v="44"/>
    <x v="2"/>
    <x v="2"/>
    <n v="610.4532696"/>
  </r>
  <r>
    <x v="0"/>
    <x v="45"/>
    <n v="33.784138030000001"/>
    <n v="1"/>
    <x v="44"/>
    <n v="5267.9568079999999"/>
    <x v="3"/>
    <n v="93"/>
    <n v="7"/>
    <n v="52"/>
    <n v="6"/>
    <x v="0"/>
    <n v="5.2151550090000001"/>
    <x v="4"/>
    <x v="4"/>
    <n v="25"/>
    <n v="794"/>
    <n v="25"/>
    <n v="66.312544439999996"/>
    <x v="2"/>
    <x v="45"/>
    <x v="2"/>
    <x v="2"/>
    <n v="495.30569700000001"/>
  </r>
  <r>
    <x v="0"/>
    <x v="46"/>
    <n v="27.082207199999999"/>
    <n v="75"/>
    <x v="45"/>
    <n v="2556.7673610000002"/>
    <x v="0"/>
    <n v="92"/>
    <n v="29"/>
    <n v="6"/>
    <n v="8"/>
    <x v="0"/>
    <n v="4.0709558369999996"/>
    <x v="0"/>
    <x v="4"/>
    <n v="18"/>
    <n v="870"/>
    <n v="23"/>
    <n v="77.322353210000003"/>
    <x v="0"/>
    <x v="46"/>
    <x v="0"/>
    <x v="0"/>
    <n v="380.43593709999999"/>
  </r>
  <r>
    <x v="1"/>
    <x v="47"/>
    <n v="95.712135880000005"/>
    <n v="93"/>
    <x v="46"/>
    <n v="7089.4742500000002"/>
    <x v="3"/>
    <n v="4"/>
    <n v="15"/>
    <n v="51"/>
    <n v="9"/>
    <x v="0"/>
    <n v="8.9787507560000002"/>
    <x v="1"/>
    <x v="1"/>
    <n v="10"/>
    <n v="964"/>
    <n v="20"/>
    <n v="19.712992910000001"/>
    <x v="0"/>
    <x v="47"/>
    <x v="2"/>
    <x v="2"/>
    <n v="581.60235509999995"/>
  </r>
  <r>
    <x v="0"/>
    <x v="48"/>
    <n v="76.035544430000002"/>
    <n v="28"/>
    <x v="47"/>
    <n v="7397.0710049999998"/>
    <x v="0"/>
    <n v="30"/>
    <n v="16"/>
    <n v="9"/>
    <n v="3"/>
    <x v="2"/>
    <n v="7.0958331570000004"/>
    <x v="4"/>
    <x v="0"/>
    <n v="9"/>
    <n v="109"/>
    <n v="18"/>
    <n v="23.12636358"/>
    <x v="1"/>
    <x v="48"/>
    <x v="2"/>
    <x v="0"/>
    <n v="768.65191400000003"/>
  </r>
  <r>
    <x v="2"/>
    <x v="49"/>
    <n v="78.897913209999999"/>
    <n v="19"/>
    <x v="48"/>
    <n v="8001.6132070000003"/>
    <x v="2"/>
    <n v="97"/>
    <n v="24"/>
    <n v="9"/>
    <n v="6"/>
    <x v="2"/>
    <n v="2.5056210330000002"/>
    <x v="2"/>
    <x v="2"/>
    <n v="28"/>
    <n v="177"/>
    <n v="28"/>
    <n v="14.14781544"/>
    <x v="2"/>
    <x v="49"/>
    <x v="2"/>
    <x v="2"/>
    <n v="336.89016850000002"/>
  </r>
  <r>
    <x v="2"/>
    <x v="50"/>
    <n v="14.20348426"/>
    <n v="91"/>
    <x v="49"/>
    <n v="5910.8853900000004"/>
    <x v="1"/>
    <n v="31"/>
    <n v="23"/>
    <n v="82"/>
    <n v="10"/>
    <x v="1"/>
    <n v="6.2478609150000004"/>
    <x v="4"/>
    <x v="2"/>
    <n v="20"/>
    <n v="306"/>
    <n v="21"/>
    <n v="45.178757920000002"/>
    <x v="1"/>
    <x v="50"/>
    <x v="2"/>
    <x v="0"/>
    <n v="496.24865030000001"/>
  </r>
  <r>
    <x v="0"/>
    <x v="51"/>
    <n v="26.700760970000001"/>
    <n v="61"/>
    <x v="50"/>
    <n v="9866.4654580000006"/>
    <x v="3"/>
    <n v="100"/>
    <n v="4"/>
    <n v="52"/>
    <n v="1"/>
    <x v="1"/>
    <n v="4.7830005580000003"/>
    <x v="2"/>
    <x v="3"/>
    <n v="18"/>
    <n v="673"/>
    <n v="28"/>
    <n v="14.190328340000001"/>
    <x v="0"/>
    <x v="51"/>
    <x v="0"/>
    <x v="2"/>
    <n v="694.98231759999999"/>
  </r>
  <r>
    <x v="1"/>
    <x v="52"/>
    <n v="98.03182966"/>
    <n v="1"/>
    <x v="51"/>
    <n v="9435.7626089999994"/>
    <x v="3"/>
    <n v="64"/>
    <n v="11"/>
    <n v="11"/>
    <n v="1"/>
    <x v="0"/>
    <n v="8.6310521799999993"/>
    <x v="1"/>
    <x v="0"/>
    <n v="10"/>
    <n v="727"/>
    <n v="27"/>
    <n v="9.1668491490000008"/>
    <x v="0"/>
    <x v="52"/>
    <x v="1"/>
    <x v="1"/>
    <n v="602.89849879999997"/>
  </r>
  <r>
    <x v="1"/>
    <x v="53"/>
    <n v="30.341470709999999"/>
    <n v="93"/>
    <x v="52"/>
    <n v="8232.3348289999994"/>
    <x v="3"/>
    <n v="96"/>
    <n v="25"/>
    <n v="54"/>
    <n v="3"/>
    <x v="0"/>
    <n v="1.0134865660000001"/>
    <x v="1"/>
    <x v="2"/>
    <n v="1"/>
    <n v="631"/>
    <n v="17"/>
    <n v="83.344058989999994"/>
    <x v="0"/>
    <x v="53"/>
    <x v="1"/>
    <x v="0"/>
    <n v="750.73784069999999"/>
  </r>
  <r>
    <x v="0"/>
    <x v="54"/>
    <n v="31.146243160000001"/>
    <n v="11"/>
    <x v="53"/>
    <n v="6088.0214800000003"/>
    <x v="0"/>
    <n v="33"/>
    <n v="22"/>
    <n v="61"/>
    <n v="3"/>
    <x v="0"/>
    <n v="4.3051034709999998"/>
    <x v="1"/>
    <x v="1"/>
    <n v="26"/>
    <n v="497"/>
    <n v="29"/>
    <n v="30.186023380000002"/>
    <x v="2"/>
    <x v="54"/>
    <x v="0"/>
    <x v="0"/>
    <n v="814.06999659999997"/>
  </r>
  <r>
    <x v="0"/>
    <x v="55"/>
    <n v="79.855058339999999"/>
    <n v="16"/>
    <x v="54"/>
    <n v="2925.67517"/>
    <x v="3"/>
    <n v="97"/>
    <n v="11"/>
    <n v="11"/>
    <n v="5"/>
    <x v="1"/>
    <n v="5.0143649549999996"/>
    <x v="4"/>
    <x v="2"/>
    <n v="27"/>
    <n v="918"/>
    <n v="5"/>
    <n v="30.32354526"/>
    <x v="1"/>
    <x v="55"/>
    <x v="3"/>
    <x v="0"/>
    <n v="323.01292799999999"/>
  </r>
  <r>
    <x v="1"/>
    <x v="56"/>
    <n v="20.986386039999999"/>
    <n v="90"/>
    <x v="55"/>
    <n v="4767.0204839999997"/>
    <x v="0"/>
    <n v="25"/>
    <n v="23"/>
    <n v="83"/>
    <n v="5"/>
    <x v="2"/>
    <n v="1.774429714"/>
    <x v="1"/>
    <x v="0"/>
    <n v="24"/>
    <n v="826"/>
    <n v="28"/>
    <n v="12.83628457"/>
    <x v="2"/>
    <x v="56"/>
    <x v="1"/>
    <x v="0"/>
    <n v="832.21080870000003"/>
  </r>
  <r>
    <x v="0"/>
    <x v="57"/>
    <n v="49.26320535"/>
    <n v="65"/>
    <x v="56"/>
    <n v="1605.8669"/>
    <x v="2"/>
    <n v="5"/>
    <n v="18"/>
    <n v="51"/>
    <n v="1"/>
    <x v="0"/>
    <n v="9.1605585349999998"/>
    <x v="4"/>
    <x v="2"/>
    <n v="21"/>
    <n v="588"/>
    <n v="25"/>
    <n v="67.779622989999993"/>
    <x v="0"/>
    <x v="57"/>
    <x v="2"/>
    <x v="2"/>
    <n v="482.19123860000002"/>
  </r>
  <r>
    <x v="1"/>
    <x v="58"/>
    <n v="59.841561380000002"/>
    <n v="81"/>
    <x v="57"/>
    <n v="2021.1498099999999"/>
    <x v="0"/>
    <n v="10"/>
    <n v="5"/>
    <n v="44"/>
    <n v="7"/>
    <x v="1"/>
    <n v="4.9384385650000002"/>
    <x v="0"/>
    <x v="2"/>
    <n v="18"/>
    <n v="396"/>
    <n v="7"/>
    <n v="65.047415090000001"/>
    <x v="1"/>
    <x v="58"/>
    <x v="0"/>
    <x v="0"/>
    <n v="110.3643352"/>
  </r>
  <r>
    <x v="2"/>
    <x v="59"/>
    <n v="63.828398350000001"/>
    <n v="30"/>
    <x v="58"/>
    <n v="1061.6185230000001"/>
    <x v="0"/>
    <n v="100"/>
    <n v="16"/>
    <n v="26"/>
    <n v="7"/>
    <x v="0"/>
    <n v="7.2937225970000004"/>
    <x v="1"/>
    <x v="1"/>
    <n v="11"/>
    <n v="176"/>
    <n v="4"/>
    <n v="1.900762244"/>
    <x v="1"/>
    <x v="59"/>
    <x v="1"/>
    <x v="2"/>
    <n v="312.57427360000003"/>
  </r>
  <r>
    <x v="1"/>
    <x v="60"/>
    <n v="17.02802792"/>
    <n v="16"/>
    <x v="59"/>
    <n v="8864.0843499999992"/>
    <x v="1"/>
    <n v="41"/>
    <n v="27"/>
    <n v="72"/>
    <n v="8"/>
    <x v="2"/>
    <n v="4.3813681579999999"/>
    <x v="3"/>
    <x v="0"/>
    <n v="29"/>
    <n v="929"/>
    <n v="24"/>
    <n v="87.213057820000003"/>
    <x v="1"/>
    <x v="60"/>
    <x v="2"/>
    <x v="2"/>
    <n v="430.16909700000002"/>
  </r>
  <r>
    <x v="0"/>
    <x v="61"/>
    <n v="52.028749900000001"/>
    <n v="23"/>
    <x v="60"/>
    <n v="6885.5893509999996"/>
    <x v="2"/>
    <n v="32"/>
    <n v="23"/>
    <n v="36"/>
    <n v="7"/>
    <x v="2"/>
    <n v="9.0303404230000002"/>
    <x v="3"/>
    <x v="1"/>
    <n v="14"/>
    <n v="480"/>
    <n v="12"/>
    <n v="78.702393970000003"/>
    <x v="1"/>
    <x v="61"/>
    <x v="1"/>
    <x v="2"/>
    <n v="164.3665282"/>
  </r>
  <r>
    <x v="2"/>
    <x v="62"/>
    <n v="72.796353960000005"/>
    <n v="89"/>
    <x v="61"/>
    <n v="3899.746834"/>
    <x v="2"/>
    <n v="86"/>
    <n v="2"/>
    <n v="40"/>
    <n v="7"/>
    <x v="2"/>
    <n v="7.291701389"/>
    <x v="4"/>
    <x v="0"/>
    <n v="13"/>
    <n v="751"/>
    <n v="14"/>
    <n v="21.048642730000001"/>
    <x v="2"/>
    <x v="62"/>
    <x v="3"/>
    <x v="1"/>
    <n v="320.84651580000002"/>
  </r>
  <r>
    <x v="1"/>
    <x v="63"/>
    <n v="13.01737679"/>
    <n v="55"/>
    <x v="62"/>
    <n v="4256.9491410000001"/>
    <x v="0"/>
    <n v="54"/>
    <n v="19"/>
    <n v="10"/>
    <n v="4"/>
    <x v="1"/>
    <n v="2.4579335279999999"/>
    <x v="0"/>
    <x v="3"/>
    <n v="18"/>
    <n v="736"/>
    <n v="10"/>
    <n v="20.075003980000002"/>
    <x v="0"/>
    <x v="63"/>
    <x v="3"/>
    <x v="2"/>
    <n v="687.28617789999998"/>
  </r>
  <r>
    <x v="1"/>
    <x v="64"/>
    <n v="89.634095610000003"/>
    <n v="11"/>
    <x v="63"/>
    <n v="8458.7308780000003"/>
    <x v="1"/>
    <n v="73"/>
    <n v="27"/>
    <n v="75"/>
    <n v="6"/>
    <x v="2"/>
    <n v="4.5853534680000001"/>
    <x v="1"/>
    <x v="2"/>
    <n v="17"/>
    <n v="328"/>
    <n v="6"/>
    <n v="8.6930424259999999"/>
    <x v="1"/>
    <x v="64"/>
    <x v="1"/>
    <x v="1"/>
    <n v="771.22508470000002"/>
  </r>
  <r>
    <x v="1"/>
    <x v="65"/>
    <n v="33.69771721"/>
    <n v="72"/>
    <x v="64"/>
    <n v="8354.5796859999991"/>
    <x v="3"/>
    <n v="57"/>
    <n v="24"/>
    <n v="54"/>
    <n v="8"/>
    <x v="2"/>
    <n v="6.5805413479999997"/>
    <x v="2"/>
    <x v="1"/>
    <n v="16"/>
    <n v="358"/>
    <n v="21"/>
    <n v="1.5972227429999999"/>
    <x v="1"/>
    <x v="65"/>
    <x v="2"/>
    <x v="1"/>
    <n v="555.85910369999999"/>
  </r>
  <r>
    <x v="1"/>
    <x v="66"/>
    <n v="26.03486977"/>
    <n v="52"/>
    <x v="65"/>
    <n v="8367.7216179999996"/>
    <x v="1"/>
    <n v="13"/>
    <n v="17"/>
    <n v="19"/>
    <n v="8"/>
    <x v="1"/>
    <n v="2.216142729"/>
    <x v="2"/>
    <x v="1"/>
    <n v="24"/>
    <n v="867"/>
    <n v="28"/>
    <n v="42.084436740000001"/>
    <x v="1"/>
    <x v="66"/>
    <x v="0"/>
    <x v="2"/>
    <n v="393.84334860000001"/>
  </r>
  <r>
    <x v="1"/>
    <x v="67"/>
    <n v="87.755432350000007"/>
    <n v="16"/>
    <x v="66"/>
    <n v="9473.7980329999991"/>
    <x v="2"/>
    <n v="12"/>
    <n v="9"/>
    <n v="71"/>
    <n v="9"/>
    <x v="2"/>
    <n v="9.1478115449999997"/>
    <x v="1"/>
    <x v="0"/>
    <n v="10"/>
    <n v="198"/>
    <n v="11"/>
    <n v="7.057876147"/>
    <x v="2"/>
    <x v="67"/>
    <x v="3"/>
    <x v="1"/>
    <n v="169.27180139999999"/>
  </r>
  <r>
    <x v="0"/>
    <x v="68"/>
    <n v="37.931812379999997"/>
    <n v="29"/>
    <x v="67"/>
    <n v="3550.218433"/>
    <x v="0"/>
    <n v="0"/>
    <n v="8"/>
    <n v="58"/>
    <n v="8"/>
    <x v="0"/>
    <n v="1.194251865"/>
    <x v="4"/>
    <x v="3"/>
    <n v="2"/>
    <n v="375"/>
    <n v="18"/>
    <n v="97.11358156"/>
    <x v="1"/>
    <x v="68"/>
    <x v="2"/>
    <x v="2"/>
    <n v="299.70630310000001"/>
  </r>
  <r>
    <x v="1"/>
    <x v="69"/>
    <n v="54.865528519999998"/>
    <n v="62"/>
    <x v="68"/>
    <n v="1752.381087"/>
    <x v="0"/>
    <n v="95"/>
    <n v="1"/>
    <n v="27"/>
    <n v="3"/>
    <x v="0"/>
    <n v="9.7052867900000006"/>
    <x v="3"/>
    <x v="1"/>
    <n v="9"/>
    <n v="862"/>
    <n v="7"/>
    <n v="77.62776581"/>
    <x v="0"/>
    <x v="69"/>
    <x v="1"/>
    <x v="2"/>
    <n v="207.66320619999999"/>
  </r>
  <r>
    <x v="0"/>
    <x v="70"/>
    <n v="47.914541819999997"/>
    <n v="90"/>
    <x v="69"/>
    <n v="7014.8879870000001"/>
    <x v="1"/>
    <n v="10"/>
    <n v="12"/>
    <n v="22"/>
    <n v="4"/>
    <x v="0"/>
    <n v="6.3157177549999997"/>
    <x v="1"/>
    <x v="3"/>
    <n v="22"/>
    <n v="775"/>
    <n v="16"/>
    <n v="11.44078182"/>
    <x v="2"/>
    <x v="70"/>
    <x v="0"/>
    <x v="1"/>
    <n v="183.27289870000001"/>
  </r>
  <r>
    <x v="2"/>
    <x v="71"/>
    <n v="6.3815331630000003"/>
    <n v="14"/>
    <x v="70"/>
    <n v="8180.3370850000001"/>
    <x v="1"/>
    <n v="76"/>
    <n v="2"/>
    <n v="26"/>
    <n v="6"/>
    <x v="1"/>
    <n v="9.2281903169999993"/>
    <x v="4"/>
    <x v="3"/>
    <n v="2"/>
    <n v="258"/>
    <n v="10"/>
    <n v="30.661677480000002"/>
    <x v="0"/>
    <x v="71"/>
    <x v="0"/>
    <x v="2"/>
    <n v="405.16706790000001"/>
  </r>
  <r>
    <x v="2"/>
    <x v="72"/>
    <n v="90.204427519999996"/>
    <n v="88"/>
    <x v="71"/>
    <n v="2633.1219809999998"/>
    <x v="0"/>
    <n v="57"/>
    <n v="29"/>
    <n v="77"/>
    <n v="9"/>
    <x v="1"/>
    <n v="6.5996141599999998"/>
    <x v="1"/>
    <x v="3"/>
    <n v="21"/>
    <n v="152"/>
    <n v="11"/>
    <n v="55.760492900000003"/>
    <x v="0"/>
    <x v="72"/>
    <x v="2"/>
    <x v="0"/>
    <n v="677.94456979999995"/>
  </r>
  <r>
    <x v="2"/>
    <x v="73"/>
    <n v="83.851017679999998"/>
    <n v="41"/>
    <x v="72"/>
    <n v="7910.8869160000004"/>
    <x v="3"/>
    <n v="17"/>
    <n v="25"/>
    <n v="66"/>
    <n v="5"/>
    <x v="0"/>
    <n v="1.512936837"/>
    <x v="3"/>
    <x v="4"/>
    <n v="13"/>
    <n v="444"/>
    <n v="4"/>
    <n v="46.870238800000003"/>
    <x v="1"/>
    <x v="73"/>
    <x v="0"/>
    <x v="2"/>
    <n v="866.47280009999997"/>
  </r>
  <r>
    <x v="0"/>
    <x v="74"/>
    <n v="3.1700114140000002"/>
    <n v="64"/>
    <x v="73"/>
    <n v="5709.9452959999999"/>
    <x v="1"/>
    <n v="41"/>
    <n v="6"/>
    <n v="1"/>
    <n v="5"/>
    <x v="1"/>
    <n v="5.2376546499999996"/>
    <x v="3"/>
    <x v="2"/>
    <n v="1"/>
    <n v="919"/>
    <n v="9"/>
    <n v="80.580852160000006"/>
    <x v="1"/>
    <x v="74"/>
    <x v="2"/>
    <x v="2"/>
    <n v="341.55265680000002"/>
  </r>
  <r>
    <x v="1"/>
    <x v="75"/>
    <n v="92.996884230000006"/>
    <n v="29"/>
    <x v="74"/>
    <n v="1889.07359"/>
    <x v="0"/>
    <n v="16"/>
    <n v="20"/>
    <n v="56"/>
    <n v="10"/>
    <x v="2"/>
    <n v="2.4738977609999999"/>
    <x v="1"/>
    <x v="4"/>
    <n v="25"/>
    <n v="759"/>
    <n v="11"/>
    <n v="48.064782639999997"/>
    <x v="2"/>
    <x v="75"/>
    <x v="1"/>
    <x v="1"/>
    <n v="873.12964799999997"/>
  </r>
  <r>
    <x v="0"/>
    <x v="76"/>
    <n v="69.108799550000001"/>
    <n v="23"/>
    <x v="75"/>
    <n v="5328.3759840000002"/>
    <x v="3"/>
    <n v="38"/>
    <n v="1"/>
    <n v="22"/>
    <n v="10"/>
    <x v="1"/>
    <n v="7.0545383370000003"/>
    <x v="4"/>
    <x v="3"/>
    <n v="25"/>
    <n v="985"/>
    <n v="24"/>
    <n v="64.323597800000002"/>
    <x v="0"/>
    <x v="76"/>
    <x v="2"/>
    <x v="2"/>
    <n v="997.41345009999998"/>
  </r>
  <r>
    <x v="0"/>
    <x v="77"/>
    <n v="57.449742960000002"/>
    <n v="14"/>
    <x v="76"/>
    <n v="2483.760178"/>
    <x v="2"/>
    <n v="96"/>
    <n v="28"/>
    <n v="57"/>
    <n v="4"/>
    <x v="0"/>
    <n v="6.7809466260000004"/>
    <x v="1"/>
    <x v="1"/>
    <n v="26"/>
    <n v="334"/>
    <n v="5"/>
    <n v="42.952444749999998"/>
    <x v="2"/>
    <x v="77"/>
    <x v="0"/>
    <x v="0"/>
    <n v="852.5680989"/>
  </r>
  <r>
    <x v="0"/>
    <x v="78"/>
    <n v="6.3068831760000004"/>
    <n v="50"/>
    <x v="77"/>
    <n v="1292.4584179999999"/>
    <x v="2"/>
    <n v="5"/>
    <n v="4"/>
    <n v="51"/>
    <n v="5"/>
    <x v="0"/>
    <n v="8.4670497709999992"/>
    <x v="2"/>
    <x v="0"/>
    <n v="25"/>
    <n v="858"/>
    <n v="21"/>
    <n v="71.126514720000003"/>
    <x v="0"/>
    <x v="78"/>
    <x v="3"/>
    <x v="1"/>
    <n v="323.59220340000002"/>
  </r>
  <r>
    <x v="0"/>
    <x v="79"/>
    <n v="57.057031219999999"/>
    <n v="56"/>
    <x v="78"/>
    <n v="7888.7232679999997"/>
    <x v="0"/>
    <n v="31"/>
    <n v="25"/>
    <n v="20"/>
    <n v="1"/>
    <x v="0"/>
    <n v="6.4963253639999996"/>
    <x v="0"/>
    <x v="3"/>
    <n v="5"/>
    <n v="228"/>
    <n v="12"/>
    <n v="57.870902919999999"/>
    <x v="0"/>
    <x v="79"/>
    <x v="1"/>
    <x v="1"/>
    <n v="351.50421929999999"/>
  </r>
  <r>
    <x v="1"/>
    <x v="80"/>
    <n v="91.128318350000001"/>
    <n v="75"/>
    <x v="79"/>
    <n v="8651.6726830000007"/>
    <x v="2"/>
    <n v="39"/>
    <n v="14"/>
    <n v="41"/>
    <n v="2"/>
    <x v="2"/>
    <n v="2.8331846789999999"/>
    <x v="0"/>
    <x v="4"/>
    <n v="8"/>
    <n v="202"/>
    <n v="5"/>
    <n v="76.961228019999993"/>
    <x v="1"/>
    <x v="80"/>
    <x v="3"/>
    <x v="0"/>
    <n v="787.77985049999995"/>
  </r>
  <r>
    <x v="0"/>
    <x v="81"/>
    <n v="72.819206930000007"/>
    <n v="9"/>
    <x v="80"/>
    <n v="4384.4134000000004"/>
    <x v="2"/>
    <n v="48"/>
    <n v="6"/>
    <n v="8"/>
    <n v="5"/>
    <x v="0"/>
    <n v="4.0662775020000002"/>
    <x v="0"/>
    <x v="2"/>
    <n v="28"/>
    <n v="698"/>
    <n v="1"/>
    <n v="19.789592939999999"/>
    <x v="0"/>
    <x v="81"/>
    <x v="2"/>
    <x v="0"/>
    <n v="276.7783359"/>
  </r>
  <r>
    <x v="1"/>
    <x v="82"/>
    <n v="17.03493074"/>
    <n v="13"/>
    <x v="12"/>
    <n v="2943.3818679999999"/>
    <x v="2"/>
    <n v="42"/>
    <n v="19"/>
    <n v="72"/>
    <n v="1"/>
    <x v="1"/>
    <n v="4.7081818740000001"/>
    <x v="4"/>
    <x v="0"/>
    <n v="6"/>
    <n v="955"/>
    <n v="26"/>
    <n v="4.4652784350000001"/>
    <x v="0"/>
    <x v="82"/>
    <x v="0"/>
    <x v="1"/>
    <n v="589.97855560000005"/>
  </r>
  <r>
    <x v="0"/>
    <x v="83"/>
    <n v="68.911246210000002"/>
    <n v="82"/>
    <x v="81"/>
    <n v="2411.7546320000001"/>
    <x v="2"/>
    <n v="65"/>
    <n v="24"/>
    <n v="7"/>
    <n v="8"/>
    <x v="0"/>
    <n v="4.9498395779999997"/>
    <x v="1"/>
    <x v="3"/>
    <n v="20"/>
    <n v="443"/>
    <n v="5"/>
    <n v="97.730593799999994"/>
    <x v="1"/>
    <x v="83"/>
    <x v="0"/>
    <x v="2"/>
    <n v="682.9710182"/>
  </r>
  <r>
    <x v="0"/>
    <x v="84"/>
    <n v="89.104367289999999"/>
    <n v="99"/>
    <x v="82"/>
    <n v="2048.2901000000002"/>
    <x v="2"/>
    <n v="73"/>
    <n v="26"/>
    <n v="80"/>
    <n v="10"/>
    <x v="1"/>
    <n v="8.3816156250000002"/>
    <x v="2"/>
    <x v="4"/>
    <n v="24"/>
    <n v="589"/>
    <n v="22"/>
    <n v="33.808636509999999"/>
    <x v="2"/>
    <x v="84"/>
    <x v="1"/>
    <x v="0"/>
    <n v="465.45700599999998"/>
  </r>
  <r>
    <x v="2"/>
    <x v="85"/>
    <n v="76.962994420000001"/>
    <n v="83"/>
    <x v="83"/>
    <n v="8684.6130589999993"/>
    <x v="1"/>
    <n v="15"/>
    <n v="18"/>
    <n v="66"/>
    <n v="2"/>
    <x v="2"/>
    <n v="8.2491687050000007"/>
    <x v="2"/>
    <x v="4"/>
    <n v="4"/>
    <n v="211"/>
    <n v="2"/>
    <n v="69.929345519999998"/>
    <x v="1"/>
    <x v="85"/>
    <x v="0"/>
    <x v="0"/>
    <n v="842.68682999999999"/>
  </r>
  <r>
    <x v="1"/>
    <x v="86"/>
    <n v="19.99817694"/>
    <n v="18"/>
    <x v="84"/>
    <n v="1229.5910289999999"/>
    <x v="2"/>
    <n v="32"/>
    <n v="14"/>
    <n v="22"/>
    <n v="6"/>
    <x v="0"/>
    <n v="1.4543053100000001"/>
    <x v="1"/>
    <x v="0"/>
    <n v="4"/>
    <n v="569"/>
    <n v="18"/>
    <n v="74.608969999999999"/>
    <x v="2"/>
    <x v="86"/>
    <x v="2"/>
    <x v="2"/>
    <n v="264.2548898"/>
  </r>
  <r>
    <x v="0"/>
    <x v="87"/>
    <n v="80.41403665"/>
    <n v="24"/>
    <x v="85"/>
    <n v="5133.8467010000004"/>
    <x v="3"/>
    <n v="5"/>
    <n v="7"/>
    <n v="55"/>
    <n v="10"/>
    <x v="1"/>
    <n v="6.5758037979999999"/>
    <x v="0"/>
    <x v="4"/>
    <n v="27"/>
    <n v="523"/>
    <n v="17"/>
    <n v="28.696996819999999"/>
    <x v="1"/>
    <x v="87"/>
    <x v="3"/>
    <x v="0"/>
    <n v="879.35921770000004"/>
  </r>
  <r>
    <x v="2"/>
    <x v="88"/>
    <n v="75.270406980000004"/>
    <n v="58"/>
    <x v="86"/>
    <n v="9444.7420330000004"/>
    <x v="3"/>
    <n v="60"/>
    <n v="18"/>
    <n v="85"/>
    <n v="7"/>
    <x v="1"/>
    <n v="3.8012531329999999"/>
    <x v="4"/>
    <x v="0"/>
    <n v="21"/>
    <n v="953"/>
    <n v="11"/>
    <n v="68.184919059999999"/>
    <x v="0"/>
    <x v="88"/>
    <x v="3"/>
    <x v="2"/>
    <n v="103.916248"/>
  </r>
  <r>
    <x v="2"/>
    <x v="89"/>
    <n v="97.760085579999995"/>
    <n v="10"/>
    <x v="63"/>
    <n v="5924.6825669999998"/>
    <x v="2"/>
    <n v="90"/>
    <n v="1"/>
    <n v="27"/>
    <n v="8"/>
    <x v="0"/>
    <n v="9.9298162449999996"/>
    <x v="1"/>
    <x v="1"/>
    <n v="23"/>
    <n v="370"/>
    <n v="11"/>
    <n v="46.603873380000003"/>
    <x v="0"/>
    <x v="89"/>
    <x v="2"/>
    <x v="0"/>
    <n v="517.49997389999999"/>
  </r>
  <r>
    <x v="1"/>
    <x v="90"/>
    <n v="13.8819135"/>
    <n v="56"/>
    <x v="20"/>
    <n v="9592.63357"/>
    <x v="0"/>
    <n v="66"/>
    <n v="18"/>
    <n v="96"/>
    <n v="7"/>
    <x v="0"/>
    <n v="7.674430708"/>
    <x v="0"/>
    <x v="3"/>
    <n v="8"/>
    <n v="585"/>
    <n v="8"/>
    <n v="85.675963339999996"/>
    <x v="2"/>
    <x v="90"/>
    <x v="2"/>
    <x v="0"/>
    <n v="990.07847249999998"/>
  </r>
  <r>
    <x v="2"/>
    <x v="91"/>
    <n v="62.11196546"/>
    <n v="90"/>
    <x v="87"/>
    <n v="1935.2067939999999"/>
    <x v="3"/>
    <n v="98"/>
    <n v="22"/>
    <n v="85"/>
    <n v="7"/>
    <x v="0"/>
    <n v="7.4715140839999998"/>
    <x v="3"/>
    <x v="2"/>
    <n v="5"/>
    <n v="207"/>
    <n v="28"/>
    <n v="39.772882500000001"/>
    <x v="0"/>
    <x v="91"/>
    <x v="2"/>
    <x v="0"/>
    <n v="996.77831500000002"/>
  </r>
  <r>
    <x v="2"/>
    <x v="92"/>
    <n v="47.71423308"/>
    <n v="44"/>
    <x v="88"/>
    <n v="2100.1297549999999"/>
    <x v="3"/>
    <n v="90"/>
    <n v="25"/>
    <n v="10"/>
    <n v="8"/>
    <x v="0"/>
    <n v="4.4695000260000004"/>
    <x v="4"/>
    <x v="0"/>
    <n v="4"/>
    <n v="671"/>
    <n v="29"/>
    <n v="62.612690399999998"/>
    <x v="2"/>
    <x v="92"/>
    <x v="2"/>
    <x v="0"/>
    <n v="230.0927825"/>
  </r>
  <r>
    <x v="0"/>
    <x v="93"/>
    <n v="69.290830999999997"/>
    <n v="88"/>
    <x v="89"/>
    <n v="4531.4021339999999"/>
    <x v="2"/>
    <n v="63"/>
    <n v="17"/>
    <n v="66"/>
    <n v="1"/>
    <x v="2"/>
    <n v="7.0064320589999998"/>
    <x v="3"/>
    <x v="4"/>
    <n v="21"/>
    <n v="824"/>
    <n v="20"/>
    <n v="35.633652339999998"/>
    <x v="1"/>
    <x v="93"/>
    <x v="1"/>
    <x v="2"/>
    <n v="823.52384589999997"/>
  </r>
  <r>
    <x v="2"/>
    <x v="94"/>
    <n v="3.0376887250000002"/>
    <n v="97"/>
    <x v="90"/>
    <n v="7888.3565470000003"/>
    <x v="2"/>
    <n v="77"/>
    <n v="26"/>
    <n v="72"/>
    <n v="9"/>
    <x v="0"/>
    <n v="6.9429459419999997"/>
    <x v="4"/>
    <x v="2"/>
    <n v="12"/>
    <n v="908"/>
    <n v="14"/>
    <n v="60.387378609999999"/>
    <x v="2"/>
    <x v="94"/>
    <x v="2"/>
    <x v="0"/>
    <n v="846.665257"/>
  </r>
  <r>
    <x v="0"/>
    <x v="95"/>
    <n v="77.90392722"/>
    <n v="65"/>
    <x v="91"/>
    <n v="7386.3639439999997"/>
    <x v="2"/>
    <n v="15"/>
    <n v="14"/>
    <n v="26"/>
    <n v="9"/>
    <x v="0"/>
    <n v="8.6303388699999992"/>
    <x v="3"/>
    <x v="0"/>
    <n v="18"/>
    <n v="450"/>
    <n v="26"/>
    <n v="58.890685769999997"/>
    <x v="0"/>
    <x v="95"/>
    <x v="1"/>
    <x v="2"/>
    <n v="778.86424139999997"/>
  </r>
  <r>
    <x v="2"/>
    <x v="96"/>
    <n v="24.423131420000001"/>
    <n v="29"/>
    <x v="92"/>
    <n v="7698.4247660000001"/>
    <x v="0"/>
    <n v="67"/>
    <n v="2"/>
    <n v="32"/>
    <n v="3"/>
    <x v="2"/>
    <n v="5.3528780439999997"/>
    <x v="0"/>
    <x v="0"/>
    <n v="28"/>
    <n v="648"/>
    <n v="28"/>
    <n v="17.803756329999999"/>
    <x v="0"/>
    <x v="96"/>
    <x v="0"/>
    <x v="2"/>
    <n v="188.7421411"/>
  </r>
  <r>
    <x v="0"/>
    <x v="97"/>
    <n v="3.5261112589999999"/>
    <n v="56"/>
    <x v="93"/>
    <n v="4370.9165800000001"/>
    <x v="3"/>
    <n v="46"/>
    <n v="19"/>
    <n v="4"/>
    <n v="9"/>
    <x v="1"/>
    <n v="7.9048456109999998"/>
    <x v="3"/>
    <x v="0"/>
    <n v="10"/>
    <n v="535"/>
    <n v="13"/>
    <n v="65.765155930000006"/>
    <x v="1"/>
    <x v="97"/>
    <x v="0"/>
    <x v="2"/>
    <n v="540.13242290000005"/>
  </r>
  <r>
    <x v="1"/>
    <x v="98"/>
    <n v="19.754604870000001"/>
    <n v="43"/>
    <x v="94"/>
    <n v="8525.9525599999997"/>
    <x v="1"/>
    <n v="53"/>
    <n v="1"/>
    <n v="27"/>
    <n v="7"/>
    <x v="0"/>
    <n v="1.4098010949999999"/>
    <x v="2"/>
    <x v="4"/>
    <n v="28"/>
    <n v="581"/>
    <n v="9"/>
    <n v="5.6046908640000002"/>
    <x v="0"/>
    <x v="98"/>
    <x v="2"/>
    <x v="2"/>
    <n v="882.19886350000002"/>
  </r>
  <r>
    <x v="0"/>
    <x v="99"/>
    <n v="68.5178327"/>
    <n v="17"/>
    <x v="95"/>
    <n v="9185.185829"/>
    <x v="2"/>
    <n v="55"/>
    <n v="8"/>
    <n v="59"/>
    <n v="6"/>
    <x v="0"/>
    <n v="1.311023756"/>
    <x v="4"/>
    <x v="4"/>
    <n v="29"/>
    <n v="921"/>
    <n v="2"/>
    <n v="38.072898520000003"/>
    <x v="1"/>
    <x v="99"/>
    <x v="2"/>
    <x v="0"/>
    <n v="210.7430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C32687-C756-4EE3-A75D-C71060DC8C62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20">
  <location ref="A3:B20" firstHeaderRow="1" firstDataRow="1" firstDataCol="1"/>
  <pivotFields count="27"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Items count="1">
    <i/>
  </colItems>
  <dataFields count="1">
    <dataField name="Summe von Anzahl verkaufter Einheiten" fld="4" baseField="0" baseItem="0"/>
  </dataFields>
  <chartFormats count="39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6" count="1" selected="0">
            <x v="0"/>
          </reference>
        </references>
      </pivotArea>
    </chartFormat>
    <chartFormat chart="4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6" count="1" selected="0">
            <x v="0"/>
          </reference>
        </references>
      </pivotArea>
    </chartFormat>
    <chartFormat chart="4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6" count="1" selected="0">
            <x v="0"/>
          </reference>
        </references>
      </pivotArea>
    </chartFormat>
    <chartFormat chart="4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6" count="1" selected="0">
            <x v="1"/>
          </reference>
        </references>
      </pivotArea>
    </chartFormat>
    <chartFormat chart="4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6" count="1" selected="0">
            <x v="1"/>
          </reference>
        </references>
      </pivotArea>
    </chartFormat>
    <chartFormat chart="4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6" count="1" selected="0">
            <x v="1"/>
          </reference>
        </references>
      </pivotArea>
    </chartFormat>
    <chartFormat chart="4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6" count="1" selected="0">
            <x v="3"/>
          </reference>
        </references>
      </pivotArea>
    </chartFormat>
    <chartFormat chart="4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6" count="1" selected="0">
            <x v="3"/>
          </reference>
        </references>
      </pivotArea>
    </chartFormat>
    <chartFormat chart="4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6" count="1" selected="0">
            <x v="3"/>
          </reference>
        </references>
      </pivotArea>
    </chartFormat>
    <chartFormat chart="4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6" count="1" selected="0">
            <x v="2"/>
          </reference>
        </references>
      </pivotArea>
    </chartFormat>
    <chartFormat chart="4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6" count="1" selected="0">
            <x v="2"/>
          </reference>
        </references>
      </pivotArea>
    </chartFormat>
    <chartFormat chart="4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6" count="1" selected="0">
            <x v="2"/>
          </reference>
        </references>
      </pivotArea>
    </chartFormat>
    <chartFormat chart="12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6" count="1" selected="0">
            <x v="0"/>
          </reference>
        </references>
      </pivotArea>
    </chartFormat>
    <chartFormat chart="12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6" count="1" selected="0">
            <x v="0"/>
          </reference>
        </references>
      </pivotArea>
    </chartFormat>
    <chartFormat chart="12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6" count="1" selected="0">
            <x v="0"/>
          </reference>
        </references>
      </pivotArea>
    </chartFormat>
    <chartFormat chart="12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6" count="1" selected="0">
            <x v="1"/>
          </reference>
        </references>
      </pivotArea>
    </chartFormat>
    <chartFormat chart="12" format="1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6" count="1" selected="0">
            <x v="1"/>
          </reference>
        </references>
      </pivotArea>
    </chartFormat>
    <chartFormat chart="12" format="1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6" count="1" selected="0">
            <x v="1"/>
          </reference>
        </references>
      </pivotArea>
    </chartFormat>
    <chartFormat chart="12" format="2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6" count="1" selected="0">
            <x v="2"/>
          </reference>
        </references>
      </pivotArea>
    </chartFormat>
    <chartFormat chart="12" format="2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6" count="1" selected="0">
            <x v="2"/>
          </reference>
        </references>
      </pivotArea>
    </chartFormat>
    <chartFormat chart="12" format="2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6" count="1" selected="0">
            <x v="2"/>
          </reference>
        </references>
      </pivotArea>
    </chartFormat>
    <chartFormat chart="12" format="2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6" count="1" selected="0">
            <x v="3"/>
          </reference>
        </references>
      </pivotArea>
    </chartFormat>
    <chartFormat chart="12" format="2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6" count="1" selected="0">
            <x v="3"/>
          </reference>
        </references>
      </pivotArea>
    </chartFormat>
    <chartFormat chart="12" format="2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6" count="1" selected="0">
            <x v="3"/>
          </reference>
        </references>
      </pivotArea>
    </chartFormat>
    <chartFormat chart="13" format="2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7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6" count="1" selected="0">
            <x v="0"/>
          </reference>
        </references>
      </pivotArea>
    </chartFormat>
    <chartFormat chart="13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6" count="1" selected="0">
            <x v="0"/>
          </reference>
        </references>
      </pivotArea>
    </chartFormat>
    <chartFormat chart="13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6" count="1" selected="0">
            <x v="0"/>
          </reference>
        </references>
      </pivotArea>
    </chartFormat>
    <chartFormat chart="13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6" count="1" selected="0">
            <x v="1"/>
          </reference>
        </references>
      </pivotArea>
    </chartFormat>
    <chartFormat chart="13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6" count="1" selected="0">
            <x v="1"/>
          </reference>
        </references>
      </pivotArea>
    </chartFormat>
    <chartFormat chart="13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6" count="1" selected="0">
            <x v="1"/>
          </reference>
        </references>
      </pivotArea>
    </chartFormat>
    <chartFormat chart="13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6" count="1" selected="0">
            <x v="2"/>
          </reference>
        </references>
      </pivotArea>
    </chartFormat>
    <chartFormat chart="13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6" count="1" selected="0">
            <x v="2"/>
          </reference>
        </references>
      </pivotArea>
    </chartFormat>
    <chartFormat chart="13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6" count="1" selected="0">
            <x v="2"/>
          </reference>
        </references>
      </pivotArea>
    </chartFormat>
    <chartFormat chart="13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6" count="1" selected="0">
            <x v="3"/>
          </reference>
        </references>
      </pivotArea>
    </chartFormat>
    <chartFormat chart="13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6" count="1" selected="0">
            <x v="3"/>
          </reference>
        </references>
      </pivotArea>
    </chartFormat>
    <chartFormat chart="13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3D0B47-72C2-4A61-822D-D9E4F681445A}" name="PivotTable3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4">
  <location ref="A3:C7" firstHeaderRow="0" firstDataRow="1" firstDataCol="1"/>
  <pivotFields count="27">
    <pivotField axis="axisRow" showAll="0">
      <items count="4">
        <item x="2"/>
        <item x="0"/>
        <item x="1"/>
        <item t="default"/>
      </items>
    </pivotField>
    <pivotField dataField="1" showAll="0">
      <items count="101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20"/>
        <item x="21"/>
        <item x="22"/>
        <item x="23"/>
        <item x="24"/>
        <item x="25"/>
        <item x="26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dataField="1"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Prozentualer Anteil der Produkttypen an verkauften Einheiten" fld="4" showDataAs="percentOfTotal" baseField="0" baseItem="0" numFmtId="10"/>
    <dataField name="Prozentualer Anteil am Sortiment" fld="1" subtotal="count" showDataAs="percentOfTotal" baseField="0" baseItem="0" numFmtId="10"/>
  </dataFields>
  <formats count="3">
    <format dxfId="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">
      <pivotArea outline="0" fieldPosition="0">
        <references count="1">
          <reference field="4294967294" count="1">
            <x v="1"/>
          </reference>
        </references>
      </pivotArea>
    </format>
    <format dxfId="3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6036E0-EA90-4A2B-8A09-C5C89447F7FD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27"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me von Umsatz der SKU" fld="5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AE4E9D-D002-427A-938B-6EA0CB4CFD50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2">
  <location ref="A3:C7" firstHeaderRow="0" firstDataRow="1" firstDataCol="1"/>
  <pivotFields count="27"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>
      <items count="97">
        <item x="2"/>
        <item x="44"/>
        <item x="83"/>
        <item x="47"/>
        <item x="69"/>
        <item x="93"/>
        <item x="6"/>
        <item x="85"/>
        <item x="3"/>
        <item x="55"/>
        <item x="48"/>
        <item x="74"/>
        <item x="89"/>
        <item x="60"/>
        <item x="17"/>
        <item x="63"/>
        <item x="25"/>
        <item x="5"/>
        <item x="8"/>
        <item x="50"/>
        <item x="41"/>
        <item x="67"/>
        <item x="31"/>
        <item x="38"/>
        <item x="19"/>
        <item x="78"/>
        <item x="24"/>
        <item x="84"/>
        <item x="56"/>
        <item x="75"/>
        <item x="52"/>
        <item x="62"/>
        <item x="13"/>
        <item x="29"/>
        <item x="61"/>
        <item x="88"/>
        <item x="16"/>
        <item x="20"/>
        <item x="92"/>
        <item x="30"/>
        <item x="12"/>
        <item x="27"/>
        <item x="26"/>
        <item x="76"/>
        <item x="72"/>
        <item x="59"/>
        <item x="23"/>
        <item x="28"/>
        <item x="7"/>
        <item x="35"/>
        <item x="64"/>
        <item x="15"/>
        <item x="71"/>
        <item x="58"/>
        <item x="68"/>
        <item x="66"/>
        <item x="40"/>
        <item x="14"/>
        <item x="42"/>
        <item x="21"/>
        <item x="34"/>
        <item x="33"/>
        <item x="82"/>
        <item x="18"/>
        <item x="53"/>
        <item x="95"/>
        <item x="49"/>
        <item x="70"/>
        <item x="81"/>
        <item x="91"/>
        <item x="54"/>
        <item x="65"/>
        <item x="37"/>
        <item x="1"/>
        <item x="86"/>
        <item x="80"/>
        <item x="32"/>
        <item x="0"/>
        <item x="51"/>
        <item x="45"/>
        <item x="4"/>
        <item x="79"/>
        <item x="22"/>
        <item x="57"/>
        <item x="73"/>
        <item x="46"/>
        <item x="94"/>
        <item x="87"/>
        <item x="43"/>
        <item x="39"/>
        <item x="77"/>
        <item x="11"/>
        <item x="36"/>
        <item x="9"/>
        <item x="90"/>
        <item x="10"/>
        <item t="default"/>
      </items>
    </pivotField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/>
    <pivotField showAll="0">
      <items count="6">
        <item x="3"/>
        <item x="4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Mittelwert von Versanddauer" fld="10" subtotal="average" baseField="11" baseItem="0" numFmtId="2"/>
    <dataField name="Mittelwert von Versandkosten" fld="12" subtotal="average" baseField="11" baseItem="0" numFmtId="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450781-C8A8-4512-9AAE-DF907795887A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10">
  <location ref="A3:C20" firstHeaderRow="0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dataField="1" showAll="0"/>
    <pivotField showAll="0">
      <items count="6">
        <item x="1"/>
        <item x="4"/>
        <item x="0"/>
        <item x="3"/>
        <item x="2"/>
        <item t="default"/>
      </items>
    </pivotField>
    <pivotField showAll="0">
      <items count="6">
        <item x="3"/>
        <item x="4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21"/>
    <field x="11"/>
  </rowFields>
  <rowItems count="1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Mittelwert von Versanddauer" fld="10" subtotal="average" baseField="21" baseItem="0" numFmtId="2"/>
    <dataField name="Mittelwert von Versandkosten" fld="12" subtotal="average" baseField="21" baseItem="0" numFmtId="2"/>
  </dataField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21" count="1" selected="0">
            <x v="0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21" count="1" selected="0">
            <x v="1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11" count="1" selected="0">
            <x v="2"/>
          </reference>
          <reference field="21" count="1" selected="0">
            <x v="2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21" count="1" selected="0">
            <x v="3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1"/>
          </reference>
          <reference field="11" count="1" selected="0">
            <x v="2"/>
          </reference>
          <reference field="21" count="1" selected="0">
            <x v="0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1"/>
          </reference>
          <reference field="11" count="1" selected="0">
            <x v="2"/>
          </reference>
          <reference field="21" count="1" selected="0">
            <x v="1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1"/>
          </reference>
          <reference field="11" count="1" selected="0">
            <x v="1"/>
          </reference>
          <reference field="21" count="1" selected="0">
            <x v="2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1"/>
          </reference>
          <reference field="11" count="1" selected="0">
            <x v="0"/>
          </reference>
          <reference field="21" count="1" selected="0">
            <x v="3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5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21" count="1" selected="0">
            <x v="0"/>
          </reference>
        </references>
      </pivotArea>
    </chartFormat>
    <chartFormat chart="4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7">
      <pivotArea type="data" outline="0" fieldPosition="0">
        <references count="3">
          <reference field="4294967294" count="1" selected="0">
            <x v="1"/>
          </reference>
          <reference field="11" count="1" selected="0">
            <x v="2"/>
          </reference>
          <reference field="21" count="1" selected="0">
            <x v="0"/>
          </reference>
        </references>
      </pivotArea>
    </chartFormat>
    <chartFormat chart="7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5">
      <pivotArea type="data" outline="0" fieldPosition="0">
        <references count="3">
          <reference field="4294967294" count="1" selected="0">
            <x v="0"/>
          </reference>
          <reference field="11" count="1" selected="0">
            <x v="1"/>
          </reference>
          <reference field="21" count="1" selected="0">
            <x v="0"/>
          </reference>
        </references>
      </pivotArea>
    </chartFormat>
    <chartFormat chart="7" format="1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7">
      <pivotArea type="data" outline="0" fieldPosition="0">
        <references count="3">
          <reference field="4294967294" count="1" selected="0">
            <x v="1"/>
          </reference>
          <reference field="11" count="1" selected="0">
            <x v="2"/>
          </reference>
          <reference field="2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7C1BD6-7ACA-4BE1-A9F8-F50A14BC11CD}" name="PivotTable2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6">
  <location ref="A3:C9" firstHeaderRow="0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4"/>
        <item x="0"/>
        <item x="3"/>
        <item x="2"/>
        <item t="default"/>
      </items>
    </pivotField>
    <pivotField showAll="0">
      <items count="6">
        <item x="3"/>
        <item x="4"/>
        <item x="2"/>
        <item x="1"/>
        <item x="0"/>
        <item t="default"/>
      </items>
    </pivotField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Mittelwert von Herstellungskosten" fld="18" subtotal="average" baseField="13" baseItem="0" numFmtId="2"/>
    <dataField name="Mittelwert von Herstellungszeit" fld="17" subtotal="average" baseField="13" baseItem="0" numFmtId="2"/>
  </dataFields>
  <formats count="3">
    <format dxfId="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">
      <pivotArea outline="0" fieldPosition="0">
        <references count="1">
          <reference field="4294967294" count="1">
            <x v="1"/>
          </reference>
        </references>
      </pivotArea>
    </format>
    <format dxfId="0">
      <pivotArea outline="0" fieldPosition="0">
        <references count="1">
          <reference field="4294967294" count="1">
            <x v="0"/>
          </reference>
        </references>
      </pivotArea>
    </format>
  </formats>
  <chartFormats count="4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1"/>
          </reference>
          <reference field="13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AB7645-80A5-4103-B5A1-F34668C4885E}" name="PivotTable2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2">
  <location ref="A3:B18" firstHeaderRow="1" firstDataRow="1" firstDataCol="1"/>
  <pivotFields count="27">
    <pivotField showAll="0"/>
    <pivotField showAll="0">
      <items count="101">
        <item x="0"/>
        <item x="1"/>
        <item x="10"/>
        <item x="11"/>
        <item x="12"/>
        <item x="13"/>
        <item x="14"/>
        <item x="15"/>
        <item x="16"/>
        <item x="17"/>
        <item x="18"/>
        <item x="19"/>
        <item x="2"/>
        <item x="20"/>
        <item x="21"/>
        <item x="22"/>
        <item x="23"/>
        <item x="24"/>
        <item x="25"/>
        <item x="26"/>
        <item x="27"/>
        <item x="28"/>
        <item x="29"/>
        <item x="3"/>
        <item x="30"/>
        <item x="31"/>
        <item x="32"/>
        <item x="33"/>
        <item x="34"/>
        <item x="35"/>
        <item x="36"/>
        <item x="37"/>
        <item x="38"/>
        <item x="39"/>
        <item x="4"/>
        <item x="40"/>
        <item x="41"/>
        <item x="42"/>
        <item x="43"/>
        <item x="44"/>
        <item x="45"/>
        <item x="46"/>
        <item x="47"/>
        <item x="48"/>
        <item x="49"/>
        <item x="5"/>
        <item x="50"/>
        <item x="51"/>
        <item x="52"/>
        <item x="53"/>
        <item x="54"/>
        <item x="55"/>
        <item x="56"/>
        <item x="57"/>
        <item x="58"/>
        <item x="59"/>
        <item x="6"/>
        <item x="60"/>
        <item x="61"/>
        <item x="62"/>
        <item x="63"/>
        <item x="64"/>
        <item x="65"/>
        <item x="66"/>
        <item x="67"/>
        <item x="68"/>
        <item x="69"/>
        <item x="7"/>
        <item x="70"/>
        <item x="71"/>
        <item x="72"/>
        <item x="73"/>
        <item x="74"/>
        <item x="75"/>
        <item x="76"/>
        <item x="77"/>
        <item x="78"/>
        <item x="79"/>
        <item x="8"/>
        <item x="80"/>
        <item x="81"/>
        <item x="82"/>
        <item x="83"/>
        <item x="84"/>
        <item x="85"/>
        <item x="86"/>
        <item x="87"/>
        <item x="88"/>
        <item x="89"/>
        <item x="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showAll="0"/>
    <pivotField showAll="0"/>
    <pivotField showAll="0"/>
    <pivotField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axis="axisRow" showAll="0">
      <items count="6">
        <item x="1"/>
        <item x="4"/>
        <item x="0"/>
        <item x="3"/>
        <item x="2"/>
        <item t="default"/>
      </items>
    </pivotField>
    <pivotField showAll="0">
      <items count="6">
        <item x="3"/>
        <item x="4"/>
        <item x="2"/>
        <item x="1"/>
        <item x="0"/>
        <item t="default"/>
      </items>
    </pivotField>
    <pivotField showAll="0"/>
    <pivotField dataField="1" showAll="0"/>
    <pivotField showAll="0"/>
    <pivotField showAll="0"/>
    <pivotField axis="axisRow" multipleItemSelectionAllowed="1" showAll="0">
      <items count="4">
        <item x="1"/>
        <item x="2"/>
        <item h="1" x="0"/>
        <item t="default"/>
      </items>
    </pivotField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13"/>
    <field x="19"/>
  </rowFields>
  <rowItems count="15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>
      <x v="4"/>
    </i>
    <i r="1">
      <x/>
    </i>
    <i r="1">
      <x v="1"/>
    </i>
    <i t="grand">
      <x/>
    </i>
  </rowItems>
  <colItems count="1">
    <i/>
  </colItems>
  <dataFields count="1">
    <dataField name="Summe von Produktionsmenge" fld="16" baseField="0" baseItem="0"/>
  </dataFields>
  <chartFormats count="1">
    <chartFormat chart="0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2D77CF-9BFF-41D7-9D38-0B580ABD810E}" name="PivotTable3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 chartFormat="3">
  <location ref="A3:B9" firstHeaderRow="1" firstDataRow="1" firstDataCol="1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4"/>
        <item x="0"/>
        <item x="3"/>
        <item x="2"/>
        <item t="default"/>
      </items>
    </pivotField>
    <pivotField axis="axisRow" showAll="0">
      <items count="6">
        <item x="3"/>
        <item x="4"/>
        <item x="2"/>
        <item x="1"/>
        <item x="0"/>
        <item t="default"/>
      </items>
    </pivotField>
    <pivotField showAll="0"/>
    <pivotField showAll="0"/>
    <pivotField showAll="0"/>
    <pivotField showAll="0"/>
    <pivotField multipleItemSelectionAllowed="1" showAll="0">
      <items count="4">
        <item x="1"/>
        <item x="2"/>
        <item h="1" x="0"/>
        <item t="default"/>
      </items>
    </pivotField>
    <pivotField dataField="1" showAll="0">
      <items count="101">
        <item x="21"/>
        <item x="11"/>
        <item x="41"/>
        <item x="14"/>
        <item x="17"/>
        <item x="67"/>
        <item x="64"/>
        <item x="79"/>
        <item x="0"/>
        <item x="92"/>
        <item x="99"/>
        <item x="43"/>
        <item x="47"/>
        <item x="74"/>
        <item x="7"/>
        <item x="59"/>
        <item x="35"/>
        <item x="38"/>
        <item x="91"/>
        <item x="34"/>
        <item x="88"/>
        <item x="83"/>
        <item x="28"/>
        <item x="30"/>
        <item x="6"/>
        <item x="16"/>
        <item x="56"/>
        <item x="95"/>
        <item x="90"/>
        <item x="23"/>
        <item x="69"/>
        <item x="85"/>
        <item x="53"/>
        <item x="39"/>
        <item x="94"/>
        <item x="13"/>
        <item x="48"/>
        <item x="10"/>
        <item x="58"/>
        <item x="51"/>
        <item x="70"/>
        <item x="62"/>
        <item x="89"/>
        <item x="32"/>
        <item x="68"/>
        <item x="75"/>
        <item x="86"/>
        <item x="71"/>
        <item x="26"/>
        <item x="52"/>
        <item x="12"/>
        <item x="76"/>
        <item x="18"/>
        <item x="15"/>
        <item x="54"/>
        <item x="57"/>
        <item x="81"/>
        <item x="22"/>
        <item x="37"/>
        <item x="8"/>
        <item x="5"/>
        <item x="49"/>
        <item x="80"/>
        <item x="60"/>
        <item x="27"/>
        <item x="98"/>
        <item x="44"/>
        <item x="31"/>
        <item x="77"/>
        <item x="4"/>
        <item x="72"/>
        <item x="45"/>
        <item x="97"/>
        <item x="66"/>
        <item x="33"/>
        <item x="63"/>
        <item x="19"/>
        <item x="46"/>
        <item x="24"/>
        <item x="87"/>
        <item x="25"/>
        <item x="36"/>
        <item x="9"/>
        <item x="96"/>
        <item x="29"/>
        <item x="78"/>
        <item x="82"/>
        <item x="93"/>
        <item x="40"/>
        <item x="20"/>
        <item x="61"/>
        <item x="55"/>
        <item x="2"/>
        <item x="73"/>
        <item x="3"/>
        <item x="50"/>
        <item x="84"/>
        <item x="1"/>
        <item x="65"/>
        <item x="42"/>
        <item t="default"/>
      </items>
    </pivotField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1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ittelwert von Fehlerquote" fld="20" subtotal="average" baseField="14" baseItem="0" numFmtId="2"/>
  </dataFields>
  <chartFormats count="5">
    <chartFormat chart="0" format="7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BABF8-4A67-4B92-8497-8A796B85BFA6}" name="Tabelle1" displayName="Tabelle1" ref="A1:X101" totalsRowShown="0">
  <autoFilter ref="A1:X101" xr:uid="{355BABF8-4A67-4B92-8497-8A796B85BFA6}"/>
  <tableColumns count="24">
    <tableColumn id="1" xr3:uid="{AF58E24D-657A-4446-A6CA-B956E5D87DDD}" name="Produkttyp"/>
    <tableColumn id="2" xr3:uid="{C3B6B025-061A-4C43-9C41-4104CB881803}" name="Produktname"/>
    <tableColumn id="3" xr3:uid="{CD1A0FD9-A12E-47E2-8ED6-CBE584F9CE9B}" name="Preis"/>
    <tableColumn id="4" xr3:uid="{A3B5FF9C-6903-4F9F-87E1-266B08D478A1}" name="Verfügbarkeit"/>
    <tableColumn id="5" xr3:uid="{57E96C57-BB8E-4D5D-B0FA-1407B42D1FDB}" name="Anzahl verkaufter Einheiten"/>
    <tableColumn id="6" xr3:uid="{99EED18B-C3F6-49FB-AD63-A0D0C1D56C73}" name="Umsatz der SKU"/>
    <tableColumn id="7" xr3:uid="{1A7EB692-7C89-4AA1-9467-A9E178961070}" name="Geschlechtsidentität"/>
    <tableColumn id="8" xr3:uid="{677857F5-198A-463C-BE08-1BDDC2B65BAB}" name="Lagerbestand"/>
    <tableColumn id="9" xr3:uid="{92239499-376A-40F6-B380-3F72BDAF999B}" name="Vorlaufzeiten"/>
    <tableColumn id="10" xr3:uid="{0D3B5D20-1B33-4B0B-8386-F4FBEFBAA47E}" name="Bestellquantität"/>
    <tableColumn id="11" xr3:uid="{C912CA2E-FCF6-4EF1-A87B-9B454812031E}" name="Versanddauer"/>
    <tableColumn id="12" xr3:uid="{1916A34A-A972-45AF-BA3A-643E8BD8940E}" name="Versanddienstleister"/>
    <tableColumn id="13" xr3:uid="{40D637F1-667C-4221-B0CB-7C59B937010B}" name="Versandkosten"/>
    <tableColumn id="14" xr3:uid="{73576A36-B78C-4CC0-AC92-52B0F9B9082A}" name="Lieferant"/>
    <tableColumn id="15" xr3:uid="{8E8B2AF8-4ED3-4C0C-A555-B04AC6194E94}" name="Standort"/>
    <tableColumn id="16" xr3:uid="{E6D65B69-C31E-4805-8B6A-1638D5E9E100}" name="Vorlaufzeit"/>
    <tableColumn id="17" xr3:uid="{10406195-0E9F-497F-BA2F-B8DDBCCCBDC4}" name="Produktionsmenge"/>
    <tableColumn id="18" xr3:uid="{D966DF5A-81C5-40E7-93FC-19A0800BC819}" name="Herstellungszeit"/>
    <tableColumn id="19" xr3:uid="{9A20E502-6438-4E2C-9644-C3160A86B66C}" name="Herstellungskosten"/>
    <tableColumn id="20" xr3:uid="{18273A73-F3E9-44E2-A3FE-7BF312386C94}" name="Ergebnis der Qualitätskontrolle"/>
    <tableColumn id="21" xr3:uid="{22170CF0-D6EC-479B-B75C-4428FA87BCA0}" name="Fehlerquote"/>
    <tableColumn id="22" xr3:uid="{4C5FAE8B-9BF6-4584-BFD7-BE77E3766B11}" name="Transportmittel"/>
    <tableColumn id="23" xr3:uid="{91AB71D1-A07E-476B-83A7-0F2CE5ABFC10}" name="Route"/>
    <tableColumn id="24" xr3:uid="{24D2A317-F135-4B0B-91AD-89A4C233586E}" name="Kosten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D5922-9B6E-4358-A330-7A3A92189587}">
  <dimension ref="A1:A5"/>
  <sheetViews>
    <sheetView tabSelected="1" workbookViewId="0"/>
  </sheetViews>
  <sheetFormatPr baseColWidth="10" defaultRowHeight="15" x14ac:dyDescent="0.25"/>
  <cols>
    <col min="1" max="1" width="48.85546875" customWidth="1"/>
  </cols>
  <sheetData>
    <row r="1" spans="1:1" x14ac:dyDescent="0.25">
      <c r="A1" t="s">
        <v>183</v>
      </c>
    </row>
    <row r="2" spans="1:1" x14ac:dyDescent="0.25">
      <c r="A2" t="s">
        <v>184</v>
      </c>
    </row>
    <row r="3" spans="1:1" x14ac:dyDescent="0.25">
      <c r="A3" t="s">
        <v>185</v>
      </c>
    </row>
    <row r="4" spans="1:1" x14ac:dyDescent="0.25">
      <c r="A4" t="s">
        <v>186</v>
      </c>
    </row>
    <row r="5" spans="1:1" x14ac:dyDescent="0.25">
      <c r="A5" t="s">
        <v>187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878F7-E422-4FC6-B8BD-0022028FB6B6}">
  <dimension ref="A1:A55"/>
  <sheetViews>
    <sheetView workbookViewId="0"/>
  </sheetViews>
  <sheetFormatPr baseColWidth="10" defaultRowHeight="15" x14ac:dyDescent="0.25"/>
  <sheetData>
    <row r="1" spans="1:1" x14ac:dyDescent="0.25">
      <c r="A1" t="s">
        <v>320</v>
      </c>
    </row>
    <row r="3" spans="1:1" x14ac:dyDescent="0.25">
      <c r="A3" t="s">
        <v>316</v>
      </c>
    </row>
    <row r="4" spans="1:1" x14ac:dyDescent="0.25">
      <c r="A4" t="s">
        <v>317</v>
      </c>
    </row>
    <row r="5" spans="1:1" x14ac:dyDescent="0.25">
      <c r="A5" t="s">
        <v>318</v>
      </c>
    </row>
    <row r="6" spans="1:1" x14ac:dyDescent="0.25">
      <c r="A6" t="s">
        <v>319</v>
      </c>
    </row>
    <row r="8" spans="1:1" x14ac:dyDescent="0.25">
      <c r="A8" t="s">
        <v>315</v>
      </c>
    </row>
    <row r="9" spans="1:1" x14ac:dyDescent="0.25">
      <c r="A9" t="s">
        <v>317</v>
      </c>
    </row>
    <row r="10" spans="1:1" x14ac:dyDescent="0.25">
      <c r="A10" t="s">
        <v>318</v>
      </c>
    </row>
    <row r="11" spans="1:1" x14ac:dyDescent="0.25">
      <c r="A11" t="s">
        <v>319</v>
      </c>
    </row>
    <row r="15" spans="1:1" x14ac:dyDescent="0.25">
      <c r="A15" t="s">
        <v>321</v>
      </c>
    </row>
    <row r="16" spans="1:1" x14ac:dyDescent="0.25">
      <c r="A16" t="s">
        <v>322</v>
      </c>
    </row>
    <row r="17" spans="1:1" x14ac:dyDescent="0.25">
      <c r="A17" t="s">
        <v>323</v>
      </c>
    </row>
    <row r="18" spans="1:1" x14ac:dyDescent="0.25">
      <c r="A18" t="s">
        <v>324</v>
      </c>
    </row>
    <row r="23" spans="1:1" x14ac:dyDescent="0.25">
      <c r="A23" t="s">
        <v>325</v>
      </c>
    </row>
    <row r="24" spans="1:1" x14ac:dyDescent="0.25">
      <c r="A24" t="s">
        <v>326</v>
      </c>
    </row>
    <row r="25" spans="1:1" x14ac:dyDescent="0.25">
      <c r="A25" t="s">
        <v>328</v>
      </c>
    </row>
    <row r="26" spans="1:1" x14ac:dyDescent="0.25">
      <c r="A26" t="s">
        <v>327</v>
      </c>
    </row>
    <row r="27" spans="1:1" x14ac:dyDescent="0.25">
      <c r="A27" t="s">
        <v>329</v>
      </c>
    </row>
    <row r="29" spans="1:1" x14ac:dyDescent="0.25">
      <c r="A29" t="s">
        <v>315</v>
      </c>
    </row>
    <row r="30" spans="1:1" x14ac:dyDescent="0.25">
      <c r="A30" t="s">
        <v>330</v>
      </c>
    </row>
    <row r="31" spans="1:1" x14ac:dyDescent="0.25">
      <c r="A31" t="s">
        <v>331</v>
      </c>
    </row>
    <row r="32" spans="1:1" x14ac:dyDescent="0.25">
      <c r="A32" t="s">
        <v>332</v>
      </c>
    </row>
    <row r="36" spans="1:1" x14ac:dyDescent="0.25">
      <c r="A36" t="s">
        <v>333</v>
      </c>
    </row>
    <row r="37" spans="1:1" x14ac:dyDescent="0.25">
      <c r="A37" t="s">
        <v>334</v>
      </c>
    </row>
    <row r="38" spans="1:1" x14ac:dyDescent="0.25">
      <c r="A38" t="s">
        <v>335</v>
      </c>
    </row>
    <row r="39" spans="1:1" x14ac:dyDescent="0.25">
      <c r="A39" t="s">
        <v>336</v>
      </c>
    </row>
    <row r="43" spans="1:1" x14ac:dyDescent="0.25">
      <c r="A43" t="s">
        <v>337</v>
      </c>
    </row>
    <row r="44" spans="1:1" x14ac:dyDescent="0.25">
      <c r="A44" t="s">
        <v>307</v>
      </c>
    </row>
    <row r="45" spans="1:1" x14ac:dyDescent="0.25">
      <c r="A45" t="s">
        <v>308</v>
      </c>
    </row>
    <row r="46" spans="1:1" x14ac:dyDescent="0.25">
      <c r="A46" t="s">
        <v>309</v>
      </c>
    </row>
    <row r="47" spans="1:1" x14ac:dyDescent="0.25">
      <c r="A47" t="s">
        <v>310</v>
      </c>
    </row>
    <row r="48" spans="1:1" x14ac:dyDescent="0.25">
      <c r="A48" t="s">
        <v>311</v>
      </c>
    </row>
    <row r="52" spans="1:1" x14ac:dyDescent="0.25">
      <c r="A52" t="s">
        <v>338</v>
      </c>
    </row>
    <row r="53" spans="1:1" x14ac:dyDescent="0.25">
      <c r="A53" t="s">
        <v>312</v>
      </c>
    </row>
    <row r="54" spans="1:1" x14ac:dyDescent="0.25">
      <c r="A54" t="s">
        <v>313</v>
      </c>
    </row>
    <row r="55" spans="1:1" x14ac:dyDescent="0.25">
      <c r="A55" t="s">
        <v>314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674B-BDCB-457F-98B4-EA37F97FA714}">
  <dimension ref="A1:X101"/>
  <sheetViews>
    <sheetView workbookViewId="0"/>
  </sheetViews>
  <sheetFormatPr baseColWidth="10" defaultRowHeight="15" x14ac:dyDescent="0.25"/>
  <cols>
    <col min="1" max="1" width="12.5703125" customWidth="1"/>
    <col min="2" max="2" width="15" customWidth="1"/>
    <col min="4" max="4" width="14.85546875" customWidth="1"/>
    <col min="5" max="5" width="26.85546875" customWidth="1"/>
    <col min="6" max="6" width="16.85546875" customWidth="1"/>
    <col min="7" max="7" width="21.140625" customWidth="1"/>
    <col min="8" max="8" width="15" customWidth="1"/>
    <col min="9" max="9" width="14.7109375" customWidth="1"/>
    <col min="10" max="10" width="17" customWidth="1"/>
    <col min="11" max="11" width="15.5703125" customWidth="1"/>
    <col min="12" max="12" width="21.28515625" customWidth="1"/>
    <col min="13" max="13" width="15.140625" customWidth="1"/>
    <col min="16" max="16" width="12.5703125" customWidth="1"/>
    <col min="17" max="17" width="19.7109375" customWidth="1"/>
    <col min="18" max="18" width="17.140625" customWidth="1"/>
    <col min="19" max="19" width="20" customWidth="1"/>
    <col min="20" max="20" width="30.42578125" customWidth="1"/>
    <col min="21" max="21" width="13.5703125" customWidth="1"/>
    <col min="22" max="22" width="16.710937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165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>
        <v>69.808005539999996</v>
      </c>
      <c r="D2">
        <v>55</v>
      </c>
      <c r="E2">
        <v>802</v>
      </c>
      <c r="F2">
        <v>8661.9967919999999</v>
      </c>
      <c r="G2" t="s">
        <v>25</v>
      </c>
      <c r="H2">
        <v>58</v>
      </c>
      <c r="I2">
        <v>7</v>
      </c>
      <c r="J2">
        <v>96</v>
      </c>
      <c r="K2">
        <v>4</v>
      </c>
      <c r="L2" t="s">
        <v>26</v>
      </c>
      <c r="M2">
        <v>2.9565721389999999</v>
      </c>
      <c r="N2" t="s">
        <v>27</v>
      </c>
      <c r="O2" t="s">
        <v>28</v>
      </c>
      <c r="P2">
        <v>29</v>
      </c>
      <c r="Q2">
        <v>215</v>
      </c>
      <c r="R2">
        <v>29</v>
      </c>
      <c r="S2">
        <v>46.27987924</v>
      </c>
      <c r="T2" t="s">
        <v>29</v>
      </c>
      <c r="U2">
        <v>0.226410361</v>
      </c>
      <c r="V2" t="s">
        <v>30</v>
      </c>
      <c r="W2" t="s">
        <v>31</v>
      </c>
      <c r="X2">
        <v>187.75207549999999</v>
      </c>
    </row>
    <row r="3" spans="1:24" x14ac:dyDescent="0.25">
      <c r="A3" t="s">
        <v>32</v>
      </c>
      <c r="B3" t="s">
        <v>33</v>
      </c>
      <c r="C3">
        <v>14.843523279999999</v>
      </c>
      <c r="D3">
        <v>95</v>
      </c>
      <c r="E3">
        <v>736</v>
      </c>
      <c r="F3">
        <v>7460.9000649999998</v>
      </c>
      <c r="G3" t="s">
        <v>34</v>
      </c>
      <c r="H3">
        <v>53</v>
      </c>
      <c r="I3">
        <v>30</v>
      </c>
      <c r="J3">
        <v>37</v>
      </c>
      <c r="K3">
        <v>2</v>
      </c>
      <c r="L3" t="s">
        <v>35</v>
      </c>
      <c r="M3">
        <v>9.7165747709999994</v>
      </c>
      <c r="N3" t="s">
        <v>27</v>
      </c>
      <c r="O3" t="s">
        <v>28</v>
      </c>
      <c r="P3">
        <v>23</v>
      </c>
      <c r="Q3">
        <v>517</v>
      </c>
      <c r="R3">
        <v>30</v>
      </c>
      <c r="S3">
        <v>33.616768950000001</v>
      </c>
      <c r="T3" t="s">
        <v>29</v>
      </c>
      <c r="U3">
        <v>4.8540680260000002</v>
      </c>
      <c r="V3" t="s">
        <v>30</v>
      </c>
      <c r="W3" t="s">
        <v>31</v>
      </c>
      <c r="X3">
        <v>503.06557909999998</v>
      </c>
    </row>
    <row r="4" spans="1:24" x14ac:dyDescent="0.25">
      <c r="A4" t="s">
        <v>23</v>
      </c>
      <c r="B4" t="s">
        <v>36</v>
      </c>
      <c r="C4">
        <v>11.31968329</v>
      </c>
      <c r="D4">
        <v>34</v>
      </c>
      <c r="E4">
        <v>8</v>
      </c>
      <c r="F4">
        <v>9577.7496260000007</v>
      </c>
      <c r="G4" t="s">
        <v>37</v>
      </c>
      <c r="H4">
        <v>1</v>
      </c>
      <c r="I4">
        <v>10</v>
      </c>
      <c r="J4">
        <v>88</v>
      </c>
      <c r="K4">
        <v>2</v>
      </c>
      <c r="L4" t="s">
        <v>26</v>
      </c>
      <c r="M4">
        <v>8.0544792619999992</v>
      </c>
      <c r="N4" t="s">
        <v>38</v>
      </c>
      <c r="O4" t="s">
        <v>28</v>
      </c>
      <c r="P4">
        <v>12</v>
      </c>
      <c r="Q4">
        <v>971</v>
      </c>
      <c r="R4">
        <v>27</v>
      </c>
      <c r="S4">
        <v>30.688019350000001</v>
      </c>
      <c r="T4" t="s">
        <v>29</v>
      </c>
      <c r="U4">
        <v>4.5805926189999999</v>
      </c>
      <c r="V4" t="s">
        <v>39</v>
      </c>
      <c r="W4" t="s">
        <v>40</v>
      </c>
      <c r="X4">
        <v>141.9202818</v>
      </c>
    </row>
    <row r="5" spans="1:24" x14ac:dyDescent="0.25">
      <c r="A5" t="s">
        <v>32</v>
      </c>
      <c r="B5" t="s">
        <v>41</v>
      </c>
      <c r="C5">
        <v>61.163343019999999</v>
      </c>
      <c r="D5">
        <v>68</v>
      </c>
      <c r="E5">
        <v>83</v>
      </c>
      <c r="F5">
        <v>7766.8364259999998</v>
      </c>
      <c r="G5" t="s">
        <v>25</v>
      </c>
      <c r="H5">
        <v>23</v>
      </c>
      <c r="I5">
        <v>13</v>
      </c>
      <c r="J5">
        <v>59</v>
      </c>
      <c r="K5">
        <v>6</v>
      </c>
      <c r="L5" t="s">
        <v>42</v>
      </c>
      <c r="M5">
        <v>1.729568564</v>
      </c>
      <c r="N5" t="s">
        <v>43</v>
      </c>
      <c r="O5" t="s">
        <v>44</v>
      </c>
      <c r="P5">
        <v>24</v>
      </c>
      <c r="Q5">
        <v>937</v>
      </c>
      <c r="R5">
        <v>18</v>
      </c>
      <c r="S5">
        <v>35.624741399999998</v>
      </c>
      <c r="T5" t="s">
        <v>45</v>
      </c>
      <c r="U5">
        <v>4.7466486210000003</v>
      </c>
      <c r="V5" t="s">
        <v>46</v>
      </c>
      <c r="W5" t="s">
        <v>47</v>
      </c>
      <c r="X5">
        <v>254.7761592</v>
      </c>
    </row>
    <row r="6" spans="1:24" x14ac:dyDescent="0.25">
      <c r="A6" t="s">
        <v>32</v>
      </c>
      <c r="B6" t="s">
        <v>48</v>
      </c>
      <c r="C6">
        <v>4.8054960360000001</v>
      </c>
      <c r="D6">
        <v>26</v>
      </c>
      <c r="E6">
        <v>871</v>
      </c>
      <c r="F6">
        <v>2686.5051520000002</v>
      </c>
      <c r="G6" t="s">
        <v>25</v>
      </c>
      <c r="H6">
        <v>5</v>
      </c>
      <c r="I6">
        <v>3</v>
      </c>
      <c r="J6">
        <v>56</v>
      </c>
      <c r="K6">
        <v>8</v>
      </c>
      <c r="L6" t="s">
        <v>35</v>
      </c>
      <c r="M6">
        <v>3.8905479160000001</v>
      </c>
      <c r="N6" t="s">
        <v>38</v>
      </c>
      <c r="O6" t="s">
        <v>49</v>
      </c>
      <c r="P6">
        <v>5</v>
      </c>
      <c r="Q6">
        <v>414</v>
      </c>
      <c r="R6">
        <v>3</v>
      </c>
      <c r="S6">
        <v>92.065160599999999</v>
      </c>
      <c r="T6" t="s">
        <v>45</v>
      </c>
      <c r="U6">
        <v>3.1455795229999999</v>
      </c>
      <c r="V6" t="s">
        <v>39</v>
      </c>
      <c r="W6" t="s">
        <v>47</v>
      </c>
      <c r="X6">
        <v>923.44063170000004</v>
      </c>
    </row>
    <row r="7" spans="1:24" x14ac:dyDescent="0.25">
      <c r="A7" t="s">
        <v>23</v>
      </c>
      <c r="B7" t="s">
        <v>50</v>
      </c>
      <c r="C7">
        <v>1.699976014</v>
      </c>
      <c r="D7">
        <v>87</v>
      </c>
      <c r="E7">
        <v>147</v>
      </c>
      <c r="F7">
        <v>2828.3487460000001</v>
      </c>
      <c r="G7" t="s">
        <v>25</v>
      </c>
      <c r="H7">
        <v>90</v>
      </c>
      <c r="I7">
        <v>27</v>
      </c>
      <c r="J7">
        <v>66</v>
      </c>
      <c r="K7">
        <v>3</v>
      </c>
      <c r="L7" t="s">
        <v>26</v>
      </c>
      <c r="M7">
        <v>4.4440988639999999</v>
      </c>
      <c r="N7" t="s">
        <v>51</v>
      </c>
      <c r="O7" t="s">
        <v>52</v>
      </c>
      <c r="P7">
        <v>10</v>
      </c>
      <c r="Q7">
        <v>104</v>
      </c>
      <c r="R7">
        <v>17</v>
      </c>
      <c r="S7">
        <v>56.766475560000003</v>
      </c>
      <c r="T7" t="s">
        <v>45</v>
      </c>
      <c r="U7">
        <v>2.779193512</v>
      </c>
      <c r="V7" t="s">
        <v>30</v>
      </c>
      <c r="W7" t="s">
        <v>47</v>
      </c>
      <c r="X7">
        <v>235.4612367</v>
      </c>
    </row>
    <row r="8" spans="1:24" x14ac:dyDescent="0.25">
      <c r="A8" t="s">
        <v>32</v>
      </c>
      <c r="B8" t="s">
        <v>53</v>
      </c>
      <c r="C8">
        <v>4.078332863</v>
      </c>
      <c r="D8">
        <v>48</v>
      </c>
      <c r="E8">
        <v>65</v>
      </c>
      <c r="F8">
        <v>7823.4765600000001</v>
      </c>
      <c r="G8" t="s">
        <v>54</v>
      </c>
      <c r="H8">
        <v>11</v>
      </c>
      <c r="I8">
        <v>15</v>
      </c>
      <c r="J8">
        <v>58</v>
      </c>
      <c r="K8">
        <v>8</v>
      </c>
      <c r="L8" t="s">
        <v>42</v>
      </c>
      <c r="M8">
        <v>3.8807633030000002</v>
      </c>
      <c r="N8" t="s">
        <v>27</v>
      </c>
      <c r="O8" t="s">
        <v>44</v>
      </c>
      <c r="P8">
        <v>14</v>
      </c>
      <c r="Q8">
        <v>314</v>
      </c>
      <c r="R8">
        <v>24</v>
      </c>
      <c r="S8">
        <v>1.08506857</v>
      </c>
      <c r="T8" t="s">
        <v>29</v>
      </c>
      <c r="U8">
        <v>1.0009106189999999</v>
      </c>
      <c r="V8" t="s">
        <v>55</v>
      </c>
      <c r="W8" t="s">
        <v>47</v>
      </c>
      <c r="X8">
        <v>134.36909689999999</v>
      </c>
    </row>
    <row r="9" spans="1:24" x14ac:dyDescent="0.25">
      <c r="A9" t="s">
        <v>56</v>
      </c>
      <c r="B9" t="s">
        <v>57</v>
      </c>
      <c r="C9">
        <v>42.958384379999998</v>
      </c>
      <c r="D9">
        <v>59</v>
      </c>
      <c r="E9">
        <v>426</v>
      </c>
      <c r="F9">
        <v>8496.1038129999997</v>
      </c>
      <c r="G9" t="s">
        <v>34</v>
      </c>
      <c r="H9">
        <v>93</v>
      </c>
      <c r="I9">
        <v>17</v>
      </c>
      <c r="J9">
        <v>11</v>
      </c>
      <c r="K9">
        <v>1</v>
      </c>
      <c r="L9" t="s">
        <v>26</v>
      </c>
      <c r="M9">
        <v>2.3483387840000001</v>
      </c>
      <c r="N9" t="s">
        <v>51</v>
      </c>
      <c r="O9" t="s">
        <v>52</v>
      </c>
      <c r="P9">
        <v>22</v>
      </c>
      <c r="Q9">
        <v>564</v>
      </c>
      <c r="R9">
        <v>1</v>
      </c>
      <c r="S9">
        <v>99.466108599999998</v>
      </c>
      <c r="T9" t="s">
        <v>45</v>
      </c>
      <c r="U9">
        <v>0.39817718699999999</v>
      </c>
      <c r="V9" t="s">
        <v>30</v>
      </c>
      <c r="W9" t="s">
        <v>40</v>
      </c>
      <c r="X9">
        <v>802.0563118</v>
      </c>
    </row>
    <row r="10" spans="1:24" x14ac:dyDescent="0.25">
      <c r="A10" t="s">
        <v>56</v>
      </c>
      <c r="B10" t="s">
        <v>58</v>
      </c>
      <c r="C10">
        <v>68.717596749999998</v>
      </c>
      <c r="D10">
        <v>78</v>
      </c>
      <c r="E10">
        <v>150</v>
      </c>
      <c r="F10">
        <v>7517.3632109999999</v>
      </c>
      <c r="G10" t="s">
        <v>34</v>
      </c>
      <c r="H10">
        <v>5</v>
      </c>
      <c r="I10">
        <v>10</v>
      </c>
      <c r="J10">
        <v>15</v>
      </c>
      <c r="K10">
        <v>7</v>
      </c>
      <c r="L10" t="s">
        <v>42</v>
      </c>
      <c r="M10">
        <v>3.4047338570000001</v>
      </c>
      <c r="N10" t="s">
        <v>51</v>
      </c>
      <c r="O10" t="s">
        <v>28</v>
      </c>
      <c r="P10">
        <v>13</v>
      </c>
      <c r="Q10">
        <v>769</v>
      </c>
      <c r="R10">
        <v>8</v>
      </c>
      <c r="S10">
        <v>11.42302714</v>
      </c>
      <c r="T10" t="s">
        <v>29</v>
      </c>
      <c r="U10">
        <v>2.7098626910000001</v>
      </c>
      <c r="V10" t="s">
        <v>55</v>
      </c>
      <c r="W10" t="s">
        <v>31</v>
      </c>
      <c r="X10">
        <v>505.55713420000001</v>
      </c>
    </row>
    <row r="11" spans="1:24" x14ac:dyDescent="0.25">
      <c r="A11" t="s">
        <v>32</v>
      </c>
      <c r="B11" t="s">
        <v>59</v>
      </c>
      <c r="C11">
        <v>64.015732940000007</v>
      </c>
      <c r="D11">
        <v>35</v>
      </c>
      <c r="E11">
        <v>980</v>
      </c>
      <c r="F11">
        <v>4971.1459880000002</v>
      </c>
      <c r="G11" t="s">
        <v>37</v>
      </c>
      <c r="H11">
        <v>14</v>
      </c>
      <c r="I11">
        <v>27</v>
      </c>
      <c r="J11">
        <v>83</v>
      </c>
      <c r="K11">
        <v>1</v>
      </c>
      <c r="L11" t="s">
        <v>35</v>
      </c>
      <c r="M11">
        <v>7.166645291</v>
      </c>
      <c r="N11" t="s">
        <v>60</v>
      </c>
      <c r="O11" t="s">
        <v>61</v>
      </c>
      <c r="P11">
        <v>29</v>
      </c>
      <c r="Q11">
        <v>963</v>
      </c>
      <c r="R11">
        <v>23</v>
      </c>
      <c r="S11">
        <v>47.957601629999999</v>
      </c>
      <c r="T11" t="s">
        <v>29</v>
      </c>
      <c r="U11">
        <v>3.8446144790000001</v>
      </c>
      <c r="V11" t="s">
        <v>46</v>
      </c>
      <c r="W11" t="s">
        <v>31</v>
      </c>
      <c r="X11">
        <v>995.9294615</v>
      </c>
    </row>
    <row r="12" spans="1:24" x14ac:dyDescent="0.25">
      <c r="A12" t="s">
        <v>32</v>
      </c>
      <c r="B12" t="s">
        <v>62</v>
      </c>
      <c r="C12">
        <v>15.70779568</v>
      </c>
      <c r="D12">
        <v>11</v>
      </c>
      <c r="E12">
        <v>996</v>
      </c>
      <c r="F12">
        <v>2330.9658020000002</v>
      </c>
      <c r="G12" t="s">
        <v>25</v>
      </c>
      <c r="H12">
        <v>51</v>
      </c>
      <c r="I12">
        <v>13</v>
      </c>
      <c r="J12">
        <v>80</v>
      </c>
      <c r="K12">
        <v>2</v>
      </c>
      <c r="L12" t="s">
        <v>42</v>
      </c>
      <c r="M12">
        <v>8.6732112109999999</v>
      </c>
      <c r="N12" t="s">
        <v>43</v>
      </c>
      <c r="O12" t="s">
        <v>44</v>
      </c>
      <c r="P12">
        <v>18</v>
      </c>
      <c r="Q12">
        <v>830</v>
      </c>
      <c r="R12">
        <v>5</v>
      </c>
      <c r="S12">
        <v>96.527352789999995</v>
      </c>
      <c r="T12" t="s">
        <v>63</v>
      </c>
      <c r="U12">
        <v>1.7273139280000001</v>
      </c>
      <c r="V12" t="s">
        <v>30</v>
      </c>
      <c r="W12" t="s">
        <v>31</v>
      </c>
      <c r="X12">
        <v>806.10317769999995</v>
      </c>
    </row>
    <row r="13" spans="1:24" x14ac:dyDescent="0.25">
      <c r="A13" t="s">
        <v>32</v>
      </c>
      <c r="B13" t="s">
        <v>64</v>
      </c>
      <c r="C13">
        <v>90.635459979999993</v>
      </c>
      <c r="D13">
        <v>95</v>
      </c>
      <c r="E13">
        <v>960</v>
      </c>
      <c r="F13">
        <v>6099.9441159999997</v>
      </c>
      <c r="G13" t="s">
        <v>34</v>
      </c>
      <c r="H13">
        <v>46</v>
      </c>
      <c r="I13">
        <v>23</v>
      </c>
      <c r="J13">
        <v>60</v>
      </c>
      <c r="K13">
        <v>1</v>
      </c>
      <c r="L13" t="s">
        <v>35</v>
      </c>
      <c r="M13">
        <v>4.5239431239999996</v>
      </c>
      <c r="N13" t="s">
        <v>60</v>
      </c>
      <c r="O13" t="s">
        <v>44</v>
      </c>
      <c r="P13">
        <v>28</v>
      </c>
      <c r="Q13">
        <v>362</v>
      </c>
      <c r="R13">
        <v>11</v>
      </c>
      <c r="S13">
        <v>27.592363089999999</v>
      </c>
      <c r="T13" t="s">
        <v>29</v>
      </c>
      <c r="U13">
        <v>2.1169820999999998E-2</v>
      </c>
      <c r="V13" t="s">
        <v>39</v>
      </c>
      <c r="W13" t="s">
        <v>47</v>
      </c>
      <c r="X13">
        <v>126.72303340000001</v>
      </c>
    </row>
    <row r="14" spans="1:24" x14ac:dyDescent="0.25">
      <c r="A14" t="s">
        <v>23</v>
      </c>
      <c r="B14" t="s">
        <v>65</v>
      </c>
      <c r="C14">
        <v>71.213389079999999</v>
      </c>
      <c r="D14">
        <v>41</v>
      </c>
      <c r="E14">
        <v>336</v>
      </c>
      <c r="F14">
        <v>2873.741446</v>
      </c>
      <c r="G14" t="s">
        <v>37</v>
      </c>
      <c r="H14">
        <v>100</v>
      </c>
      <c r="I14">
        <v>30</v>
      </c>
      <c r="J14">
        <v>85</v>
      </c>
      <c r="K14">
        <v>4</v>
      </c>
      <c r="L14" t="s">
        <v>35</v>
      </c>
      <c r="M14">
        <v>1.32527401</v>
      </c>
      <c r="N14" t="s">
        <v>51</v>
      </c>
      <c r="O14" t="s">
        <v>44</v>
      </c>
      <c r="P14">
        <v>3</v>
      </c>
      <c r="Q14">
        <v>563</v>
      </c>
      <c r="R14">
        <v>3</v>
      </c>
      <c r="S14">
        <v>32.321286209999997</v>
      </c>
      <c r="T14" t="s">
        <v>45</v>
      </c>
      <c r="U14">
        <v>2.161253748</v>
      </c>
      <c r="V14" t="s">
        <v>30</v>
      </c>
      <c r="W14" t="s">
        <v>31</v>
      </c>
      <c r="X14">
        <v>402.96878909999998</v>
      </c>
    </row>
    <row r="15" spans="1:24" x14ac:dyDescent="0.25">
      <c r="A15" t="s">
        <v>32</v>
      </c>
      <c r="B15" t="s">
        <v>66</v>
      </c>
      <c r="C15">
        <v>16.160393320000001</v>
      </c>
      <c r="D15">
        <v>5</v>
      </c>
      <c r="E15">
        <v>249</v>
      </c>
      <c r="F15">
        <v>4052.7384160000001</v>
      </c>
      <c r="G15" t="s">
        <v>54</v>
      </c>
      <c r="H15">
        <v>80</v>
      </c>
      <c r="I15">
        <v>8</v>
      </c>
      <c r="J15">
        <v>48</v>
      </c>
      <c r="K15">
        <v>9</v>
      </c>
      <c r="L15" t="s">
        <v>35</v>
      </c>
      <c r="M15">
        <v>9.5372830610000001</v>
      </c>
      <c r="N15" t="s">
        <v>43</v>
      </c>
      <c r="O15" t="s">
        <v>52</v>
      </c>
      <c r="P15">
        <v>23</v>
      </c>
      <c r="Q15">
        <v>173</v>
      </c>
      <c r="R15">
        <v>10</v>
      </c>
      <c r="S15">
        <v>97.829050109999997</v>
      </c>
      <c r="T15" t="s">
        <v>29</v>
      </c>
      <c r="U15">
        <v>1.6310742300000001</v>
      </c>
      <c r="V15" t="s">
        <v>30</v>
      </c>
      <c r="W15" t="s">
        <v>31</v>
      </c>
      <c r="X15">
        <v>547.24100520000002</v>
      </c>
    </row>
    <row r="16" spans="1:24" x14ac:dyDescent="0.25">
      <c r="A16" t="s">
        <v>32</v>
      </c>
      <c r="B16" t="s">
        <v>67</v>
      </c>
      <c r="C16">
        <v>99.171328639999999</v>
      </c>
      <c r="D16">
        <v>26</v>
      </c>
      <c r="E16">
        <v>562</v>
      </c>
      <c r="F16">
        <v>8653.5709260000003</v>
      </c>
      <c r="G16" t="s">
        <v>25</v>
      </c>
      <c r="H16">
        <v>54</v>
      </c>
      <c r="I16">
        <v>29</v>
      </c>
      <c r="J16">
        <v>78</v>
      </c>
      <c r="K16">
        <v>5</v>
      </c>
      <c r="L16" t="s">
        <v>26</v>
      </c>
      <c r="M16">
        <v>2.039770189</v>
      </c>
      <c r="N16" t="s">
        <v>38</v>
      </c>
      <c r="O16" t="s">
        <v>44</v>
      </c>
      <c r="P16">
        <v>25</v>
      </c>
      <c r="Q16">
        <v>558</v>
      </c>
      <c r="R16">
        <v>14</v>
      </c>
      <c r="S16">
        <v>5.7914366299999998</v>
      </c>
      <c r="T16" t="s">
        <v>29</v>
      </c>
      <c r="U16">
        <v>0.100682852</v>
      </c>
      <c r="V16" t="s">
        <v>39</v>
      </c>
      <c r="W16" t="s">
        <v>31</v>
      </c>
      <c r="X16">
        <v>929.23528999999996</v>
      </c>
    </row>
    <row r="17" spans="1:24" x14ac:dyDescent="0.25">
      <c r="A17" t="s">
        <v>32</v>
      </c>
      <c r="B17" t="s">
        <v>68</v>
      </c>
      <c r="C17">
        <v>36.989244929999998</v>
      </c>
      <c r="D17">
        <v>94</v>
      </c>
      <c r="E17">
        <v>469</v>
      </c>
      <c r="F17">
        <v>5442.0867850000004</v>
      </c>
      <c r="G17" t="s">
        <v>25</v>
      </c>
      <c r="H17">
        <v>9</v>
      </c>
      <c r="I17">
        <v>8</v>
      </c>
      <c r="J17">
        <v>69</v>
      </c>
      <c r="K17">
        <v>7</v>
      </c>
      <c r="L17" t="s">
        <v>26</v>
      </c>
      <c r="M17">
        <v>2.4220397230000001</v>
      </c>
      <c r="N17" t="s">
        <v>38</v>
      </c>
      <c r="O17" t="s">
        <v>52</v>
      </c>
      <c r="P17">
        <v>14</v>
      </c>
      <c r="Q17">
        <v>580</v>
      </c>
      <c r="R17">
        <v>7</v>
      </c>
      <c r="S17">
        <v>97.121281749999994</v>
      </c>
      <c r="T17" t="s">
        <v>63</v>
      </c>
      <c r="U17">
        <v>2.2644057609999999</v>
      </c>
      <c r="V17" t="s">
        <v>55</v>
      </c>
      <c r="W17" t="s">
        <v>31</v>
      </c>
      <c r="X17">
        <v>127.8618</v>
      </c>
    </row>
    <row r="18" spans="1:24" x14ac:dyDescent="0.25">
      <c r="A18" t="s">
        <v>32</v>
      </c>
      <c r="B18" t="s">
        <v>69</v>
      </c>
      <c r="C18">
        <v>7.54717211</v>
      </c>
      <c r="D18">
        <v>74</v>
      </c>
      <c r="E18">
        <v>280</v>
      </c>
      <c r="F18">
        <v>6453.7979679999999</v>
      </c>
      <c r="G18" t="s">
        <v>34</v>
      </c>
      <c r="H18">
        <v>2</v>
      </c>
      <c r="I18">
        <v>5</v>
      </c>
      <c r="J18">
        <v>78</v>
      </c>
      <c r="K18">
        <v>1</v>
      </c>
      <c r="L18" t="s">
        <v>26</v>
      </c>
      <c r="M18">
        <v>4.1913245860000004</v>
      </c>
      <c r="N18" t="s">
        <v>38</v>
      </c>
      <c r="O18" t="s">
        <v>52</v>
      </c>
      <c r="P18">
        <v>3</v>
      </c>
      <c r="Q18">
        <v>399</v>
      </c>
      <c r="R18">
        <v>21</v>
      </c>
      <c r="S18">
        <v>77.106342499999997</v>
      </c>
      <c r="T18" t="s">
        <v>63</v>
      </c>
      <c r="U18">
        <v>1.0125630889999999</v>
      </c>
      <c r="V18" t="s">
        <v>39</v>
      </c>
      <c r="W18" t="s">
        <v>47</v>
      </c>
      <c r="X18">
        <v>865.52577980000001</v>
      </c>
    </row>
    <row r="19" spans="1:24" x14ac:dyDescent="0.25">
      <c r="A19" t="s">
        <v>56</v>
      </c>
      <c r="B19" t="s">
        <v>70</v>
      </c>
      <c r="C19">
        <v>81.46253437</v>
      </c>
      <c r="D19">
        <v>82</v>
      </c>
      <c r="E19">
        <v>126</v>
      </c>
      <c r="F19">
        <v>2629.3964350000001</v>
      </c>
      <c r="G19" t="s">
        <v>34</v>
      </c>
      <c r="H19">
        <v>45</v>
      </c>
      <c r="I19">
        <v>17</v>
      </c>
      <c r="J19">
        <v>85</v>
      </c>
      <c r="K19">
        <v>9</v>
      </c>
      <c r="L19" t="s">
        <v>42</v>
      </c>
      <c r="M19">
        <v>3.585418958</v>
      </c>
      <c r="N19" t="s">
        <v>38</v>
      </c>
      <c r="O19" t="s">
        <v>61</v>
      </c>
      <c r="P19">
        <v>7</v>
      </c>
      <c r="Q19">
        <v>453</v>
      </c>
      <c r="R19">
        <v>16</v>
      </c>
      <c r="S19">
        <v>47.67968037</v>
      </c>
      <c r="T19" t="s">
        <v>45</v>
      </c>
      <c r="U19">
        <v>0.102020755</v>
      </c>
      <c r="V19" t="s">
        <v>39</v>
      </c>
      <c r="W19" t="s">
        <v>40</v>
      </c>
      <c r="X19">
        <v>670.93439079999996</v>
      </c>
    </row>
    <row r="20" spans="1:24" x14ac:dyDescent="0.25">
      <c r="A20" t="s">
        <v>23</v>
      </c>
      <c r="B20" t="s">
        <v>71</v>
      </c>
      <c r="C20">
        <v>36.443627769999999</v>
      </c>
      <c r="D20">
        <v>23</v>
      </c>
      <c r="E20">
        <v>620</v>
      </c>
      <c r="F20">
        <v>9364.6735050000007</v>
      </c>
      <c r="G20" t="s">
        <v>37</v>
      </c>
      <c r="H20">
        <v>10</v>
      </c>
      <c r="I20">
        <v>10</v>
      </c>
      <c r="J20">
        <v>46</v>
      </c>
      <c r="K20">
        <v>8</v>
      </c>
      <c r="L20" t="s">
        <v>42</v>
      </c>
      <c r="M20">
        <v>4.3392247140000002</v>
      </c>
      <c r="N20" t="s">
        <v>60</v>
      </c>
      <c r="O20" t="s">
        <v>44</v>
      </c>
      <c r="P20">
        <v>18</v>
      </c>
      <c r="Q20">
        <v>374</v>
      </c>
      <c r="R20">
        <v>17</v>
      </c>
      <c r="S20">
        <v>27.107980850000001</v>
      </c>
      <c r="T20" t="s">
        <v>29</v>
      </c>
      <c r="U20">
        <v>2.231939111</v>
      </c>
      <c r="V20" t="s">
        <v>55</v>
      </c>
      <c r="W20" t="s">
        <v>47</v>
      </c>
      <c r="X20">
        <v>593.48025870000004</v>
      </c>
    </row>
    <row r="21" spans="1:24" x14ac:dyDescent="0.25">
      <c r="A21" t="s">
        <v>32</v>
      </c>
      <c r="B21" t="s">
        <v>72</v>
      </c>
      <c r="C21">
        <v>51.123870089999997</v>
      </c>
      <c r="D21">
        <v>100</v>
      </c>
      <c r="E21">
        <v>187</v>
      </c>
      <c r="F21">
        <v>2553.4955850000001</v>
      </c>
      <c r="G21" t="s">
        <v>37</v>
      </c>
      <c r="H21">
        <v>48</v>
      </c>
      <c r="I21">
        <v>11</v>
      </c>
      <c r="J21">
        <v>94</v>
      </c>
      <c r="K21">
        <v>3</v>
      </c>
      <c r="L21" t="s">
        <v>35</v>
      </c>
      <c r="M21">
        <v>4.7426358830000002</v>
      </c>
      <c r="N21" t="s">
        <v>51</v>
      </c>
      <c r="O21" t="s">
        <v>61</v>
      </c>
      <c r="P21">
        <v>20</v>
      </c>
      <c r="Q21">
        <v>694</v>
      </c>
      <c r="R21">
        <v>16</v>
      </c>
      <c r="S21">
        <v>82.373320590000006</v>
      </c>
      <c r="T21" t="s">
        <v>45</v>
      </c>
      <c r="U21">
        <v>3.6464508649999998</v>
      </c>
      <c r="V21" t="s">
        <v>30</v>
      </c>
      <c r="W21" t="s">
        <v>40</v>
      </c>
      <c r="X21">
        <v>477.30763109999998</v>
      </c>
    </row>
    <row r="22" spans="1:24" x14ac:dyDescent="0.25">
      <c r="A22" t="s">
        <v>32</v>
      </c>
      <c r="B22" t="s">
        <v>73</v>
      </c>
      <c r="C22">
        <v>96.341072440000005</v>
      </c>
      <c r="D22">
        <v>22</v>
      </c>
      <c r="E22">
        <v>320</v>
      </c>
      <c r="F22">
        <v>8128.0276970000004</v>
      </c>
      <c r="G22" t="s">
        <v>37</v>
      </c>
      <c r="H22">
        <v>27</v>
      </c>
      <c r="I22">
        <v>12</v>
      </c>
      <c r="J22">
        <v>68</v>
      </c>
      <c r="K22">
        <v>6</v>
      </c>
      <c r="L22" t="s">
        <v>35</v>
      </c>
      <c r="M22">
        <v>8.8783346509999994</v>
      </c>
      <c r="N22" t="s">
        <v>38</v>
      </c>
      <c r="O22" t="s">
        <v>61</v>
      </c>
      <c r="P22">
        <v>29</v>
      </c>
      <c r="Q22">
        <v>309</v>
      </c>
      <c r="R22">
        <v>6</v>
      </c>
      <c r="S22">
        <v>65.686259609999993</v>
      </c>
      <c r="T22" t="s">
        <v>63</v>
      </c>
      <c r="U22">
        <v>4.2314165739999998</v>
      </c>
      <c r="V22" t="s">
        <v>39</v>
      </c>
      <c r="W22" t="s">
        <v>31</v>
      </c>
      <c r="X22">
        <v>493.87121530000002</v>
      </c>
    </row>
    <row r="23" spans="1:24" x14ac:dyDescent="0.25">
      <c r="A23" t="s">
        <v>56</v>
      </c>
      <c r="B23" t="s">
        <v>74</v>
      </c>
      <c r="C23">
        <v>84.893868979999993</v>
      </c>
      <c r="D23">
        <v>60</v>
      </c>
      <c r="E23">
        <v>601</v>
      </c>
      <c r="F23">
        <v>7087.0526959999997</v>
      </c>
      <c r="G23" t="s">
        <v>37</v>
      </c>
      <c r="H23">
        <v>69</v>
      </c>
      <c r="I23">
        <v>25</v>
      </c>
      <c r="J23">
        <v>7</v>
      </c>
      <c r="K23">
        <v>6</v>
      </c>
      <c r="L23" t="s">
        <v>26</v>
      </c>
      <c r="M23">
        <v>6.0378837689999996</v>
      </c>
      <c r="N23" t="s">
        <v>43</v>
      </c>
      <c r="O23" t="s">
        <v>61</v>
      </c>
      <c r="P23">
        <v>19</v>
      </c>
      <c r="Q23">
        <v>791</v>
      </c>
      <c r="R23">
        <v>4</v>
      </c>
      <c r="S23">
        <v>61.735728950000002</v>
      </c>
      <c r="T23" t="s">
        <v>29</v>
      </c>
      <c r="U23">
        <v>1.8607568000000001E-2</v>
      </c>
      <c r="V23" t="s">
        <v>39</v>
      </c>
      <c r="W23" t="s">
        <v>40</v>
      </c>
      <c r="X23">
        <v>523.36091469999997</v>
      </c>
    </row>
    <row r="24" spans="1:24" x14ac:dyDescent="0.25">
      <c r="A24" t="s">
        <v>23</v>
      </c>
      <c r="B24" t="s">
        <v>75</v>
      </c>
      <c r="C24">
        <v>27.67978089</v>
      </c>
      <c r="D24">
        <v>55</v>
      </c>
      <c r="E24">
        <v>884</v>
      </c>
      <c r="F24">
        <v>2390.807867</v>
      </c>
      <c r="G24" t="s">
        <v>37</v>
      </c>
      <c r="H24">
        <v>71</v>
      </c>
      <c r="I24">
        <v>1</v>
      </c>
      <c r="J24">
        <v>63</v>
      </c>
      <c r="K24">
        <v>10</v>
      </c>
      <c r="L24" t="s">
        <v>35</v>
      </c>
      <c r="M24">
        <v>9.567648921</v>
      </c>
      <c r="N24" t="s">
        <v>51</v>
      </c>
      <c r="O24" t="s">
        <v>44</v>
      </c>
      <c r="P24">
        <v>22</v>
      </c>
      <c r="Q24">
        <v>780</v>
      </c>
      <c r="R24">
        <v>28</v>
      </c>
      <c r="S24">
        <v>50.120839609999997</v>
      </c>
      <c r="T24" t="s">
        <v>45</v>
      </c>
      <c r="U24">
        <v>2.5912754730000001</v>
      </c>
      <c r="V24" t="s">
        <v>46</v>
      </c>
      <c r="W24" t="s">
        <v>40</v>
      </c>
      <c r="X24">
        <v>205.5719958</v>
      </c>
    </row>
    <row r="25" spans="1:24" x14ac:dyDescent="0.25">
      <c r="A25" t="s">
        <v>56</v>
      </c>
      <c r="B25" t="s">
        <v>76</v>
      </c>
      <c r="C25">
        <v>4.3243411859999998</v>
      </c>
      <c r="D25">
        <v>30</v>
      </c>
      <c r="E25">
        <v>391</v>
      </c>
      <c r="F25">
        <v>8858.3675710000007</v>
      </c>
      <c r="G25" t="s">
        <v>37</v>
      </c>
      <c r="H25">
        <v>84</v>
      </c>
      <c r="I25">
        <v>5</v>
      </c>
      <c r="J25">
        <v>29</v>
      </c>
      <c r="K25">
        <v>7</v>
      </c>
      <c r="L25" t="s">
        <v>35</v>
      </c>
      <c r="M25">
        <v>2.9248576009999998</v>
      </c>
      <c r="N25" t="s">
        <v>43</v>
      </c>
      <c r="O25" t="s">
        <v>44</v>
      </c>
      <c r="P25">
        <v>11</v>
      </c>
      <c r="Q25">
        <v>568</v>
      </c>
      <c r="R25">
        <v>29</v>
      </c>
      <c r="S25">
        <v>98.60995724</v>
      </c>
      <c r="T25" t="s">
        <v>29</v>
      </c>
      <c r="U25">
        <v>1.3422915630000001</v>
      </c>
      <c r="V25" t="s">
        <v>46</v>
      </c>
      <c r="W25" t="s">
        <v>47</v>
      </c>
      <c r="X25">
        <v>196.32944610000001</v>
      </c>
    </row>
    <row r="26" spans="1:24" x14ac:dyDescent="0.25">
      <c r="A26" t="s">
        <v>23</v>
      </c>
      <c r="B26" t="s">
        <v>77</v>
      </c>
      <c r="C26">
        <v>4.1563083589999996</v>
      </c>
      <c r="D26">
        <v>32</v>
      </c>
      <c r="E26">
        <v>209</v>
      </c>
      <c r="F26">
        <v>9049.0778609999998</v>
      </c>
      <c r="G26" t="s">
        <v>54</v>
      </c>
      <c r="H26">
        <v>4</v>
      </c>
      <c r="I26">
        <v>26</v>
      </c>
      <c r="J26">
        <v>2</v>
      </c>
      <c r="K26">
        <v>8</v>
      </c>
      <c r="L26" t="s">
        <v>42</v>
      </c>
      <c r="M26">
        <v>9.7412916890000005</v>
      </c>
      <c r="N26" t="s">
        <v>60</v>
      </c>
      <c r="O26" t="s">
        <v>52</v>
      </c>
      <c r="P26">
        <v>28</v>
      </c>
      <c r="Q26">
        <v>447</v>
      </c>
      <c r="R26">
        <v>3</v>
      </c>
      <c r="S26">
        <v>40.382359700000002</v>
      </c>
      <c r="T26" t="s">
        <v>29</v>
      </c>
      <c r="U26">
        <v>3.6913102929999999</v>
      </c>
      <c r="V26" t="s">
        <v>39</v>
      </c>
      <c r="W26" t="s">
        <v>47</v>
      </c>
      <c r="X26">
        <v>758.72477260000005</v>
      </c>
    </row>
    <row r="27" spans="1:24" x14ac:dyDescent="0.25">
      <c r="A27" t="s">
        <v>23</v>
      </c>
      <c r="B27" t="s">
        <v>78</v>
      </c>
      <c r="C27">
        <v>39.629343990000002</v>
      </c>
      <c r="D27">
        <v>73</v>
      </c>
      <c r="E27">
        <v>142</v>
      </c>
      <c r="F27">
        <v>2174.7770540000001</v>
      </c>
      <c r="G27" t="s">
        <v>54</v>
      </c>
      <c r="H27">
        <v>82</v>
      </c>
      <c r="I27">
        <v>11</v>
      </c>
      <c r="J27">
        <v>52</v>
      </c>
      <c r="K27">
        <v>3</v>
      </c>
      <c r="L27" t="s">
        <v>42</v>
      </c>
      <c r="M27">
        <v>2.2310736809999998</v>
      </c>
      <c r="N27" t="s">
        <v>51</v>
      </c>
      <c r="O27" t="s">
        <v>44</v>
      </c>
      <c r="P27">
        <v>19</v>
      </c>
      <c r="Q27">
        <v>934</v>
      </c>
      <c r="R27">
        <v>23</v>
      </c>
      <c r="S27">
        <v>78.280383119999996</v>
      </c>
      <c r="T27" t="s">
        <v>29</v>
      </c>
      <c r="U27">
        <v>3.7972312170000002</v>
      </c>
      <c r="V27" t="s">
        <v>30</v>
      </c>
      <c r="W27" t="s">
        <v>31</v>
      </c>
      <c r="X27">
        <v>458.53594570000001</v>
      </c>
    </row>
    <row r="28" spans="1:24" x14ac:dyDescent="0.25">
      <c r="A28" t="s">
        <v>23</v>
      </c>
      <c r="B28" t="s">
        <v>79</v>
      </c>
      <c r="C28">
        <v>97.446946620000006</v>
      </c>
      <c r="D28">
        <v>9</v>
      </c>
      <c r="E28">
        <v>353</v>
      </c>
      <c r="F28">
        <v>3716.4933259999998</v>
      </c>
      <c r="G28" t="s">
        <v>54</v>
      </c>
      <c r="H28">
        <v>59</v>
      </c>
      <c r="I28">
        <v>16</v>
      </c>
      <c r="J28">
        <v>48</v>
      </c>
      <c r="K28">
        <v>4</v>
      </c>
      <c r="L28" t="s">
        <v>26</v>
      </c>
      <c r="M28">
        <v>6.5075486209999998</v>
      </c>
      <c r="N28" t="s">
        <v>60</v>
      </c>
      <c r="O28" t="s">
        <v>52</v>
      </c>
      <c r="P28">
        <v>26</v>
      </c>
      <c r="Q28">
        <v>171</v>
      </c>
      <c r="R28">
        <v>4</v>
      </c>
      <c r="S28">
        <v>15.972229759999999</v>
      </c>
      <c r="T28" t="s">
        <v>63</v>
      </c>
      <c r="U28">
        <v>2.1193197370000001</v>
      </c>
      <c r="V28" t="s">
        <v>46</v>
      </c>
      <c r="W28" t="s">
        <v>47</v>
      </c>
      <c r="X28">
        <v>617.8669165</v>
      </c>
    </row>
    <row r="29" spans="1:24" x14ac:dyDescent="0.25">
      <c r="A29" t="s">
        <v>56</v>
      </c>
      <c r="B29" t="s">
        <v>80</v>
      </c>
      <c r="C29">
        <v>92.557360810000006</v>
      </c>
      <c r="D29">
        <v>42</v>
      </c>
      <c r="E29">
        <v>352</v>
      </c>
      <c r="F29">
        <v>2686.4572240000002</v>
      </c>
      <c r="G29" t="s">
        <v>37</v>
      </c>
      <c r="H29">
        <v>47</v>
      </c>
      <c r="I29">
        <v>9</v>
      </c>
      <c r="J29">
        <v>62</v>
      </c>
      <c r="K29">
        <v>8</v>
      </c>
      <c r="L29" t="s">
        <v>42</v>
      </c>
      <c r="M29">
        <v>7.4067509530000004</v>
      </c>
      <c r="N29" t="s">
        <v>43</v>
      </c>
      <c r="O29" t="s">
        <v>28</v>
      </c>
      <c r="P29">
        <v>25</v>
      </c>
      <c r="Q29">
        <v>291</v>
      </c>
      <c r="R29">
        <v>4</v>
      </c>
      <c r="S29">
        <v>10.528245070000001</v>
      </c>
      <c r="T29" t="s">
        <v>45</v>
      </c>
      <c r="U29">
        <v>2.8646678379999999</v>
      </c>
      <c r="V29" t="s">
        <v>55</v>
      </c>
      <c r="W29" t="s">
        <v>31</v>
      </c>
      <c r="X29">
        <v>762.45918219999999</v>
      </c>
    </row>
    <row r="30" spans="1:24" x14ac:dyDescent="0.25">
      <c r="A30" t="s">
        <v>56</v>
      </c>
      <c r="B30" t="s">
        <v>81</v>
      </c>
      <c r="C30">
        <v>2.3972747060000001</v>
      </c>
      <c r="D30">
        <v>12</v>
      </c>
      <c r="E30">
        <v>394</v>
      </c>
      <c r="F30">
        <v>6117.3246150000004</v>
      </c>
      <c r="G30" t="s">
        <v>34</v>
      </c>
      <c r="H30">
        <v>48</v>
      </c>
      <c r="I30">
        <v>15</v>
      </c>
      <c r="J30">
        <v>24</v>
      </c>
      <c r="K30">
        <v>4</v>
      </c>
      <c r="L30" t="s">
        <v>26</v>
      </c>
      <c r="M30">
        <v>9.8981405079999991</v>
      </c>
      <c r="N30" t="s">
        <v>38</v>
      </c>
      <c r="O30" t="s">
        <v>28</v>
      </c>
      <c r="P30">
        <v>13</v>
      </c>
      <c r="Q30">
        <v>171</v>
      </c>
      <c r="R30">
        <v>7</v>
      </c>
      <c r="S30">
        <v>59.429381810000002</v>
      </c>
      <c r="T30" t="s">
        <v>45</v>
      </c>
      <c r="U30">
        <v>0.81575707900000005</v>
      </c>
      <c r="V30" t="s">
        <v>39</v>
      </c>
      <c r="W30" t="s">
        <v>47</v>
      </c>
      <c r="X30">
        <v>123.4370275</v>
      </c>
    </row>
    <row r="31" spans="1:24" x14ac:dyDescent="0.25">
      <c r="A31" t="s">
        <v>56</v>
      </c>
      <c r="B31" t="s">
        <v>82</v>
      </c>
      <c r="C31">
        <v>63.44755919</v>
      </c>
      <c r="D31">
        <v>3</v>
      </c>
      <c r="E31">
        <v>253</v>
      </c>
      <c r="F31">
        <v>8318.9031950000008</v>
      </c>
      <c r="G31" t="s">
        <v>34</v>
      </c>
      <c r="H31">
        <v>45</v>
      </c>
      <c r="I31">
        <v>5</v>
      </c>
      <c r="J31">
        <v>67</v>
      </c>
      <c r="K31">
        <v>7</v>
      </c>
      <c r="L31" t="s">
        <v>26</v>
      </c>
      <c r="M31">
        <v>8.1009731449999993</v>
      </c>
      <c r="N31" t="s">
        <v>38</v>
      </c>
      <c r="O31" t="s">
        <v>44</v>
      </c>
      <c r="P31">
        <v>16</v>
      </c>
      <c r="Q31">
        <v>329</v>
      </c>
      <c r="R31">
        <v>7</v>
      </c>
      <c r="S31">
        <v>39.292875590000001</v>
      </c>
      <c r="T31" t="s">
        <v>63</v>
      </c>
      <c r="U31">
        <v>3.8780989369999999</v>
      </c>
      <c r="V31" t="s">
        <v>30</v>
      </c>
      <c r="W31" t="s">
        <v>31</v>
      </c>
      <c r="X31">
        <v>764.93537590000005</v>
      </c>
    </row>
    <row r="32" spans="1:24" x14ac:dyDescent="0.25">
      <c r="A32" t="s">
        <v>23</v>
      </c>
      <c r="B32" t="s">
        <v>83</v>
      </c>
      <c r="C32">
        <v>8.0228592110000001</v>
      </c>
      <c r="D32">
        <v>10</v>
      </c>
      <c r="E32">
        <v>327</v>
      </c>
      <c r="F32">
        <v>2766.3423670000002</v>
      </c>
      <c r="G32" t="s">
        <v>54</v>
      </c>
      <c r="H32">
        <v>60</v>
      </c>
      <c r="I32">
        <v>26</v>
      </c>
      <c r="J32">
        <v>35</v>
      </c>
      <c r="K32">
        <v>7</v>
      </c>
      <c r="L32" t="s">
        <v>26</v>
      </c>
      <c r="M32">
        <v>8.9545283149999992</v>
      </c>
      <c r="N32" t="s">
        <v>51</v>
      </c>
      <c r="O32" t="s">
        <v>44</v>
      </c>
      <c r="P32">
        <v>27</v>
      </c>
      <c r="Q32">
        <v>806</v>
      </c>
      <c r="R32">
        <v>30</v>
      </c>
      <c r="S32">
        <v>51.634893400000003</v>
      </c>
      <c r="T32" t="s">
        <v>29</v>
      </c>
      <c r="U32">
        <v>0.96539470500000002</v>
      </c>
      <c r="V32" t="s">
        <v>30</v>
      </c>
      <c r="W32" t="s">
        <v>40</v>
      </c>
      <c r="X32">
        <v>880.08098819999998</v>
      </c>
    </row>
    <row r="33" spans="1:24" x14ac:dyDescent="0.25">
      <c r="A33" t="s">
        <v>32</v>
      </c>
      <c r="B33" t="s">
        <v>84</v>
      </c>
      <c r="C33">
        <v>50.847393050000001</v>
      </c>
      <c r="D33">
        <v>28</v>
      </c>
      <c r="E33">
        <v>168</v>
      </c>
      <c r="F33">
        <v>9655.1351030000005</v>
      </c>
      <c r="G33" t="s">
        <v>54</v>
      </c>
      <c r="H33">
        <v>6</v>
      </c>
      <c r="I33">
        <v>17</v>
      </c>
      <c r="J33">
        <v>44</v>
      </c>
      <c r="K33">
        <v>4</v>
      </c>
      <c r="L33" t="s">
        <v>26</v>
      </c>
      <c r="M33">
        <v>2.6796609650000001</v>
      </c>
      <c r="N33" t="s">
        <v>27</v>
      </c>
      <c r="O33" t="s">
        <v>61</v>
      </c>
      <c r="P33">
        <v>24</v>
      </c>
      <c r="Q33">
        <v>461</v>
      </c>
      <c r="R33">
        <v>8</v>
      </c>
      <c r="S33">
        <v>60.251145659999999</v>
      </c>
      <c r="T33" t="s">
        <v>29</v>
      </c>
      <c r="U33">
        <v>2.989000007</v>
      </c>
      <c r="V33" t="s">
        <v>46</v>
      </c>
      <c r="W33" t="s">
        <v>40</v>
      </c>
      <c r="X33">
        <v>609.37920659999997</v>
      </c>
    </row>
    <row r="34" spans="1:24" x14ac:dyDescent="0.25">
      <c r="A34" t="s">
        <v>32</v>
      </c>
      <c r="B34" t="s">
        <v>85</v>
      </c>
      <c r="C34">
        <v>79.209936020000001</v>
      </c>
      <c r="D34">
        <v>43</v>
      </c>
      <c r="E34">
        <v>781</v>
      </c>
      <c r="F34">
        <v>9571.5504870000004</v>
      </c>
      <c r="G34" t="s">
        <v>37</v>
      </c>
      <c r="H34">
        <v>89</v>
      </c>
      <c r="I34">
        <v>13</v>
      </c>
      <c r="J34">
        <v>64</v>
      </c>
      <c r="K34">
        <v>4</v>
      </c>
      <c r="L34" t="s">
        <v>42</v>
      </c>
      <c r="M34">
        <v>6.5991049009999996</v>
      </c>
      <c r="N34" t="s">
        <v>27</v>
      </c>
      <c r="O34" t="s">
        <v>44</v>
      </c>
      <c r="P34">
        <v>30</v>
      </c>
      <c r="Q34">
        <v>737</v>
      </c>
      <c r="R34">
        <v>7</v>
      </c>
      <c r="S34">
        <v>29.692467149999999</v>
      </c>
      <c r="T34" t="s">
        <v>63</v>
      </c>
      <c r="U34">
        <v>1.946036119</v>
      </c>
      <c r="V34" t="s">
        <v>30</v>
      </c>
      <c r="W34" t="s">
        <v>47</v>
      </c>
      <c r="X34">
        <v>761.17390950000004</v>
      </c>
    </row>
    <row r="35" spans="1:24" x14ac:dyDescent="0.25">
      <c r="A35" t="s">
        <v>56</v>
      </c>
      <c r="B35" t="s">
        <v>86</v>
      </c>
      <c r="C35">
        <v>64.795434999999998</v>
      </c>
      <c r="D35">
        <v>63</v>
      </c>
      <c r="E35">
        <v>616</v>
      </c>
      <c r="F35">
        <v>5149.9983499999998</v>
      </c>
      <c r="G35" t="s">
        <v>25</v>
      </c>
      <c r="H35">
        <v>4</v>
      </c>
      <c r="I35">
        <v>17</v>
      </c>
      <c r="J35">
        <v>95</v>
      </c>
      <c r="K35">
        <v>9</v>
      </c>
      <c r="L35" t="s">
        <v>42</v>
      </c>
      <c r="M35">
        <v>4.858270503</v>
      </c>
      <c r="N35" t="s">
        <v>43</v>
      </c>
      <c r="O35" t="s">
        <v>61</v>
      </c>
      <c r="P35">
        <v>1</v>
      </c>
      <c r="Q35">
        <v>251</v>
      </c>
      <c r="R35">
        <v>23</v>
      </c>
      <c r="S35">
        <v>23.85342751</v>
      </c>
      <c r="T35" t="s">
        <v>45</v>
      </c>
      <c r="U35">
        <v>3.5410460119999998</v>
      </c>
      <c r="V35" t="s">
        <v>55</v>
      </c>
      <c r="W35" t="s">
        <v>47</v>
      </c>
      <c r="X35">
        <v>371.25529549999999</v>
      </c>
    </row>
    <row r="36" spans="1:24" x14ac:dyDescent="0.25">
      <c r="A36" t="s">
        <v>32</v>
      </c>
      <c r="B36" t="s">
        <v>87</v>
      </c>
      <c r="C36">
        <v>37.467592330000002</v>
      </c>
      <c r="D36">
        <v>96</v>
      </c>
      <c r="E36">
        <v>602</v>
      </c>
      <c r="F36">
        <v>9061.7108960000005</v>
      </c>
      <c r="G36" t="s">
        <v>37</v>
      </c>
      <c r="H36">
        <v>1</v>
      </c>
      <c r="I36">
        <v>26</v>
      </c>
      <c r="J36">
        <v>21</v>
      </c>
      <c r="K36">
        <v>7</v>
      </c>
      <c r="L36" t="s">
        <v>35</v>
      </c>
      <c r="M36">
        <v>1.019487571</v>
      </c>
      <c r="N36" t="s">
        <v>38</v>
      </c>
      <c r="O36" t="s">
        <v>61</v>
      </c>
      <c r="P36">
        <v>4</v>
      </c>
      <c r="Q36">
        <v>452</v>
      </c>
      <c r="R36">
        <v>10</v>
      </c>
      <c r="S36">
        <v>10.754272820000001</v>
      </c>
      <c r="T36" t="s">
        <v>63</v>
      </c>
      <c r="U36">
        <v>0.64660455900000002</v>
      </c>
      <c r="V36" t="s">
        <v>30</v>
      </c>
      <c r="W36" t="s">
        <v>31</v>
      </c>
      <c r="X36">
        <v>510.35800039999998</v>
      </c>
    </row>
    <row r="37" spans="1:24" x14ac:dyDescent="0.25">
      <c r="A37" t="s">
        <v>56</v>
      </c>
      <c r="B37" t="s">
        <v>88</v>
      </c>
      <c r="C37">
        <v>84.957786819999995</v>
      </c>
      <c r="D37">
        <v>11</v>
      </c>
      <c r="E37">
        <v>449</v>
      </c>
      <c r="F37">
        <v>6541.3293450000001</v>
      </c>
      <c r="G37" t="s">
        <v>34</v>
      </c>
      <c r="H37">
        <v>42</v>
      </c>
      <c r="I37">
        <v>27</v>
      </c>
      <c r="J37">
        <v>85</v>
      </c>
      <c r="K37">
        <v>8</v>
      </c>
      <c r="L37" t="s">
        <v>42</v>
      </c>
      <c r="M37">
        <v>5.2881899900000002</v>
      </c>
      <c r="N37" t="s">
        <v>38</v>
      </c>
      <c r="O37" t="s">
        <v>49</v>
      </c>
      <c r="P37">
        <v>3</v>
      </c>
      <c r="Q37">
        <v>367</v>
      </c>
      <c r="R37">
        <v>2</v>
      </c>
      <c r="S37">
        <v>58.004787039999997</v>
      </c>
      <c r="T37" t="s">
        <v>63</v>
      </c>
      <c r="U37">
        <v>0.54115409800000003</v>
      </c>
      <c r="V37" t="s">
        <v>55</v>
      </c>
      <c r="W37" t="s">
        <v>40</v>
      </c>
      <c r="X37">
        <v>553.42047119999995</v>
      </c>
    </row>
    <row r="38" spans="1:24" x14ac:dyDescent="0.25">
      <c r="A38" t="s">
        <v>32</v>
      </c>
      <c r="B38" t="s">
        <v>89</v>
      </c>
      <c r="C38">
        <v>9.8130025790000008</v>
      </c>
      <c r="D38">
        <v>34</v>
      </c>
      <c r="E38">
        <v>963</v>
      </c>
      <c r="F38">
        <v>7573.4024579999996</v>
      </c>
      <c r="G38" t="s">
        <v>34</v>
      </c>
      <c r="H38">
        <v>18</v>
      </c>
      <c r="I38">
        <v>23</v>
      </c>
      <c r="J38">
        <v>28</v>
      </c>
      <c r="K38">
        <v>3</v>
      </c>
      <c r="L38" t="s">
        <v>26</v>
      </c>
      <c r="M38">
        <v>2.1079512669999998</v>
      </c>
      <c r="N38" t="s">
        <v>60</v>
      </c>
      <c r="O38" t="s">
        <v>49</v>
      </c>
      <c r="P38">
        <v>26</v>
      </c>
      <c r="Q38">
        <v>671</v>
      </c>
      <c r="R38">
        <v>19</v>
      </c>
      <c r="S38">
        <v>45.531364240000002</v>
      </c>
      <c r="T38" t="s">
        <v>45</v>
      </c>
      <c r="U38">
        <v>3.8055333789999999</v>
      </c>
      <c r="V38" t="s">
        <v>39</v>
      </c>
      <c r="W38" t="s">
        <v>40</v>
      </c>
      <c r="X38">
        <v>403.80897420000002</v>
      </c>
    </row>
    <row r="39" spans="1:24" x14ac:dyDescent="0.25">
      <c r="A39" t="s">
        <v>32</v>
      </c>
      <c r="B39" t="s">
        <v>90</v>
      </c>
      <c r="C39">
        <v>23.39984475</v>
      </c>
      <c r="D39">
        <v>5</v>
      </c>
      <c r="E39">
        <v>963</v>
      </c>
      <c r="F39">
        <v>2438.3399300000001</v>
      </c>
      <c r="G39" t="s">
        <v>34</v>
      </c>
      <c r="H39">
        <v>25</v>
      </c>
      <c r="I39">
        <v>8</v>
      </c>
      <c r="J39">
        <v>21</v>
      </c>
      <c r="K39">
        <v>9</v>
      </c>
      <c r="L39" t="s">
        <v>35</v>
      </c>
      <c r="M39">
        <v>1.5326552739999999</v>
      </c>
      <c r="N39" t="s">
        <v>27</v>
      </c>
      <c r="O39" t="s">
        <v>44</v>
      </c>
      <c r="P39">
        <v>24</v>
      </c>
      <c r="Q39">
        <v>867</v>
      </c>
      <c r="R39">
        <v>15</v>
      </c>
      <c r="S39">
        <v>34.343277469999997</v>
      </c>
      <c r="T39" t="s">
        <v>29</v>
      </c>
      <c r="U39">
        <v>2.6102880850000001</v>
      </c>
      <c r="V39" t="s">
        <v>55</v>
      </c>
      <c r="W39" t="s">
        <v>47</v>
      </c>
      <c r="X39">
        <v>183.93296799999999</v>
      </c>
    </row>
    <row r="40" spans="1:24" x14ac:dyDescent="0.25">
      <c r="A40" t="s">
        <v>56</v>
      </c>
      <c r="B40" t="s">
        <v>91</v>
      </c>
      <c r="C40">
        <v>52.075930679999999</v>
      </c>
      <c r="D40">
        <v>75</v>
      </c>
      <c r="E40">
        <v>705</v>
      </c>
      <c r="F40">
        <v>9692.3180400000001</v>
      </c>
      <c r="G40" t="s">
        <v>25</v>
      </c>
      <c r="H40">
        <v>69</v>
      </c>
      <c r="I40">
        <v>1</v>
      </c>
      <c r="J40">
        <v>88</v>
      </c>
      <c r="K40">
        <v>5</v>
      </c>
      <c r="L40" t="s">
        <v>26</v>
      </c>
      <c r="M40">
        <v>9.2359314369999996</v>
      </c>
      <c r="N40" t="s">
        <v>43</v>
      </c>
      <c r="O40" t="s">
        <v>28</v>
      </c>
      <c r="P40">
        <v>10</v>
      </c>
      <c r="Q40">
        <v>841</v>
      </c>
      <c r="R40">
        <v>12</v>
      </c>
      <c r="S40">
        <v>5.9306936459999999</v>
      </c>
      <c r="T40" t="s">
        <v>29</v>
      </c>
      <c r="U40">
        <v>0.61332689900000004</v>
      </c>
      <c r="V40" t="s">
        <v>39</v>
      </c>
      <c r="W40" t="s">
        <v>31</v>
      </c>
      <c r="X40">
        <v>339.67286990000002</v>
      </c>
    </row>
    <row r="41" spans="1:24" x14ac:dyDescent="0.25">
      <c r="A41" t="s">
        <v>32</v>
      </c>
      <c r="B41" t="s">
        <v>92</v>
      </c>
      <c r="C41">
        <v>19.12747727</v>
      </c>
      <c r="D41">
        <v>26</v>
      </c>
      <c r="E41">
        <v>176</v>
      </c>
      <c r="F41">
        <v>1912.4656629999999</v>
      </c>
      <c r="G41" t="s">
        <v>34</v>
      </c>
      <c r="H41">
        <v>78</v>
      </c>
      <c r="I41">
        <v>29</v>
      </c>
      <c r="J41">
        <v>34</v>
      </c>
      <c r="K41">
        <v>3</v>
      </c>
      <c r="L41" t="s">
        <v>35</v>
      </c>
      <c r="M41">
        <v>5.562503779</v>
      </c>
      <c r="N41" t="s">
        <v>60</v>
      </c>
      <c r="O41" t="s">
        <v>44</v>
      </c>
      <c r="P41">
        <v>30</v>
      </c>
      <c r="Q41">
        <v>791</v>
      </c>
      <c r="R41">
        <v>6</v>
      </c>
      <c r="S41">
        <v>9.0058074290000008</v>
      </c>
      <c r="T41" t="s">
        <v>45</v>
      </c>
      <c r="U41">
        <v>1.451972204</v>
      </c>
      <c r="V41" t="s">
        <v>39</v>
      </c>
      <c r="W41" t="s">
        <v>31</v>
      </c>
      <c r="X41">
        <v>653.67299460000004</v>
      </c>
    </row>
    <row r="42" spans="1:24" x14ac:dyDescent="0.25">
      <c r="A42" t="s">
        <v>32</v>
      </c>
      <c r="B42" t="s">
        <v>93</v>
      </c>
      <c r="C42">
        <v>80.541424169999999</v>
      </c>
      <c r="D42">
        <v>97</v>
      </c>
      <c r="E42">
        <v>933</v>
      </c>
      <c r="F42">
        <v>5724.9593500000001</v>
      </c>
      <c r="G42" t="s">
        <v>34</v>
      </c>
      <c r="H42">
        <v>90</v>
      </c>
      <c r="I42">
        <v>20</v>
      </c>
      <c r="J42">
        <v>39</v>
      </c>
      <c r="K42">
        <v>8</v>
      </c>
      <c r="L42" t="s">
        <v>42</v>
      </c>
      <c r="M42">
        <v>7.2295951399999998</v>
      </c>
      <c r="N42" t="s">
        <v>38</v>
      </c>
      <c r="O42" t="s">
        <v>44</v>
      </c>
      <c r="P42">
        <v>18</v>
      </c>
      <c r="Q42">
        <v>793</v>
      </c>
      <c r="R42">
        <v>1</v>
      </c>
      <c r="S42">
        <v>88.179407100000006</v>
      </c>
      <c r="T42" t="s">
        <v>29</v>
      </c>
      <c r="U42">
        <v>4.2132694309999996</v>
      </c>
      <c r="V42" t="s">
        <v>30</v>
      </c>
      <c r="W42" t="s">
        <v>47</v>
      </c>
      <c r="X42">
        <v>529.80872399999998</v>
      </c>
    </row>
    <row r="43" spans="1:24" x14ac:dyDescent="0.25">
      <c r="A43" t="s">
        <v>32</v>
      </c>
      <c r="B43" t="s">
        <v>94</v>
      </c>
      <c r="C43">
        <v>99.113291619999998</v>
      </c>
      <c r="D43">
        <v>35</v>
      </c>
      <c r="E43">
        <v>556</v>
      </c>
      <c r="F43">
        <v>5521.2052590000003</v>
      </c>
      <c r="G43" t="s">
        <v>34</v>
      </c>
      <c r="H43">
        <v>64</v>
      </c>
      <c r="I43">
        <v>19</v>
      </c>
      <c r="J43">
        <v>38</v>
      </c>
      <c r="K43">
        <v>8</v>
      </c>
      <c r="L43" t="s">
        <v>26</v>
      </c>
      <c r="M43">
        <v>5.7732637440000003</v>
      </c>
      <c r="N43" t="s">
        <v>51</v>
      </c>
      <c r="O43" t="s">
        <v>61</v>
      </c>
      <c r="P43">
        <v>18</v>
      </c>
      <c r="Q43">
        <v>892</v>
      </c>
      <c r="R43">
        <v>7</v>
      </c>
      <c r="S43">
        <v>95.332064549999998</v>
      </c>
      <c r="T43" t="s">
        <v>45</v>
      </c>
      <c r="U43">
        <v>4.5302262000000003E-2</v>
      </c>
      <c r="V43" t="s">
        <v>55</v>
      </c>
      <c r="W43" t="s">
        <v>47</v>
      </c>
      <c r="X43">
        <v>275.5243711</v>
      </c>
    </row>
    <row r="44" spans="1:24" x14ac:dyDescent="0.25">
      <c r="A44" t="s">
        <v>32</v>
      </c>
      <c r="B44" t="s">
        <v>95</v>
      </c>
      <c r="C44">
        <v>46.529167610000002</v>
      </c>
      <c r="D44">
        <v>98</v>
      </c>
      <c r="E44">
        <v>155</v>
      </c>
      <c r="F44">
        <v>1839.609426</v>
      </c>
      <c r="G44" t="s">
        <v>34</v>
      </c>
      <c r="H44">
        <v>22</v>
      </c>
      <c r="I44">
        <v>27</v>
      </c>
      <c r="J44">
        <v>57</v>
      </c>
      <c r="K44">
        <v>4</v>
      </c>
      <c r="L44" t="s">
        <v>42</v>
      </c>
      <c r="M44">
        <v>7.5262483270000002</v>
      </c>
      <c r="N44" t="s">
        <v>43</v>
      </c>
      <c r="O44" t="s">
        <v>52</v>
      </c>
      <c r="P44">
        <v>26</v>
      </c>
      <c r="Q44">
        <v>179</v>
      </c>
      <c r="R44">
        <v>7</v>
      </c>
      <c r="S44">
        <v>96.422820639999998</v>
      </c>
      <c r="T44" t="s">
        <v>45</v>
      </c>
      <c r="U44">
        <v>4.9392552890000001</v>
      </c>
      <c r="V44" t="s">
        <v>30</v>
      </c>
      <c r="W44" t="s">
        <v>47</v>
      </c>
      <c r="X44">
        <v>635.65712050000002</v>
      </c>
    </row>
    <row r="45" spans="1:24" x14ac:dyDescent="0.25">
      <c r="A45" t="s">
        <v>23</v>
      </c>
      <c r="B45" t="s">
        <v>96</v>
      </c>
      <c r="C45">
        <v>11.743271780000001</v>
      </c>
      <c r="D45">
        <v>6</v>
      </c>
      <c r="E45">
        <v>598</v>
      </c>
      <c r="F45">
        <v>5737.4255990000001</v>
      </c>
      <c r="G45" t="s">
        <v>37</v>
      </c>
      <c r="H45">
        <v>36</v>
      </c>
      <c r="I45">
        <v>29</v>
      </c>
      <c r="J45">
        <v>85</v>
      </c>
      <c r="K45">
        <v>9</v>
      </c>
      <c r="L45" t="s">
        <v>26</v>
      </c>
      <c r="M45">
        <v>3.6940212680000002</v>
      </c>
      <c r="N45" t="s">
        <v>43</v>
      </c>
      <c r="O45" t="s">
        <v>28</v>
      </c>
      <c r="P45">
        <v>1</v>
      </c>
      <c r="Q45">
        <v>206</v>
      </c>
      <c r="R45">
        <v>23</v>
      </c>
      <c r="S45">
        <v>26.277365960000001</v>
      </c>
      <c r="T45" t="s">
        <v>29</v>
      </c>
      <c r="U45">
        <v>0.37230476800000001</v>
      </c>
      <c r="V45" t="s">
        <v>39</v>
      </c>
      <c r="W45" t="s">
        <v>47</v>
      </c>
      <c r="X45">
        <v>716.04411979999998</v>
      </c>
    </row>
    <row r="46" spans="1:24" x14ac:dyDescent="0.25">
      <c r="A46" t="s">
        <v>56</v>
      </c>
      <c r="B46" t="s">
        <v>97</v>
      </c>
      <c r="C46">
        <v>51.355790910000003</v>
      </c>
      <c r="D46">
        <v>34</v>
      </c>
      <c r="E46">
        <v>919</v>
      </c>
      <c r="F46">
        <v>7152.2860490000003</v>
      </c>
      <c r="G46" t="s">
        <v>34</v>
      </c>
      <c r="H46">
        <v>13</v>
      </c>
      <c r="I46">
        <v>19</v>
      </c>
      <c r="J46">
        <v>72</v>
      </c>
      <c r="K46">
        <v>6</v>
      </c>
      <c r="L46" t="s">
        <v>42</v>
      </c>
      <c r="M46">
        <v>7.5774496569999998</v>
      </c>
      <c r="N46" t="s">
        <v>60</v>
      </c>
      <c r="O46" t="s">
        <v>49</v>
      </c>
      <c r="P46">
        <v>7</v>
      </c>
      <c r="Q46">
        <v>834</v>
      </c>
      <c r="R46">
        <v>18</v>
      </c>
      <c r="S46">
        <v>22.554106619999999</v>
      </c>
      <c r="T46" t="s">
        <v>45</v>
      </c>
      <c r="U46">
        <v>2.96262632</v>
      </c>
      <c r="V46" t="s">
        <v>46</v>
      </c>
      <c r="W46" t="s">
        <v>47</v>
      </c>
      <c r="X46">
        <v>610.4532696</v>
      </c>
    </row>
    <row r="47" spans="1:24" x14ac:dyDescent="0.25">
      <c r="A47" t="s">
        <v>23</v>
      </c>
      <c r="B47" t="s">
        <v>98</v>
      </c>
      <c r="C47">
        <v>33.784138030000001</v>
      </c>
      <c r="D47">
        <v>1</v>
      </c>
      <c r="E47">
        <v>24</v>
      </c>
      <c r="F47">
        <v>5267.9568079999999</v>
      </c>
      <c r="G47" t="s">
        <v>54</v>
      </c>
      <c r="H47">
        <v>93</v>
      </c>
      <c r="I47">
        <v>7</v>
      </c>
      <c r="J47">
        <v>52</v>
      </c>
      <c r="K47">
        <v>6</v>
      </c>
      <c r="L47" t="s">
        <v>26</v>
      </c>
      <c r="M47">
        <v>5.2151550090000001</v>
      </c>
      <c r="N47" t="s">
        <v>60</v>
      </c>
      <c r="O47" t="s">
        <v>61</v>
      </c>
      <c r="P47">
        <v>25</v>
      </c>
      <c r="Q47">
        <v>794</v>
      </c>
      <c r="R47">
        <v>25</v>
      </c>
      <c r="S47">
        <v>66.312544439999996</v>
      </c>
      <c r="T47" t="s">
        <v>63</v>
      </c>
      <c r="U47">
        <v>3.2196046119999999</v>
      </c>
      <c r="V47" t="s">
        <v>46</v>
      </c>
      <c r="W47" t="s">
        <v>47</v>
      </c>
      <c r="X47">
        <v>495.30569700000001</v>
      </c>
    </row>
    <row r="48" spans="1:24" x14ac:dyDescent="0.25">
      <c r="A48" t="s">
        <v>23</v>
      </c>
      <c r="B48" t="s">
        <v>99</v>
      </c>
      <c r="C48">
        <v>27.082207199999999</v>
      </c>
      <c r="D48">
        <v>75</v>
      </c>
      <c r="E48">
        <v>859</v>
      </c>
      <c r="F48">
        <v>2556.7673610000002</v>
      </c>
      <c r="G48" t="s">
        <v>25</v>
      </c>
      <c r="H48">
        <v>92</v>
      </c>
      <c r="I48">
        <v>29</v>
      </c>
      <c r="J48">
        <v>6</v>
      </c>
      <c r="K48">
        <v>8</v>
      </c>
      <c r="L48" t="s">
        <v>26</v>
      </c>
      <c r="M48">
        <v>4.0709558369999996</v>
      </c>
      <c r="N48" t="s">
        <v>27</v>
      </c>
      <c r="O48" t="s">
        <v>61</v>
      </c>
      <c r="P48">
        <v>18</v>
      </c>
      <c r="Q48">
        <v>870</v>
      </c>
      <c r="R48">
        <v>23</v>
      </c>
      <c r="S48">
        <v>77.322353210000003</v>
      </c>
      <c r="T48" t="s">
        <v>29</v>
      </c>
      <c r="U48">
        <v>3.6486105929999999</v>
      </c>
      <c r="V48" t="s">
        <v>30</v>
      </c>
      <c r="W48" t="s">
        <v>31</v>
      </c>
      <c r="X48">
        <v>380.43593709999999</v>
      </c>
    </row>
    <row r="49" spans="1:24" x14ac:dyDescent="0.25">
      <c r="A49" t="s">
        <v>32</v>
      </c>
      <c r="B49" t="s">
        <v>100</v>
      </c>
      <c r="C49">
        <v>95.712135880000005</v>
      </c>
      <c r="D49">
        <v>93</v>
      </c>
      <c r="E49">
        <v>910</v>
      </c>
      <c r="F49">
        <v>7089.4742500000002</v>
      </c>
      <c r="G49" t="s">
        <v>54</v>
      </c>
      <c r="H49">
        <v>4</v>
      </c>
      <c r="I49">
        <v>15</v>
      </c>
      <c r="J49">
        <v>51</v>
      </c>
      <c r="K49">
        <v>9</v>
      </c>
      <c r="L49" t="s">
        <v>26</v>
      </c>
      <c r="M49">
        <v>8.9787507560000002</v>
      </c>
      <c r="N49" t="s">
        <v>38</v>
      </c>
      <c r="O49" t="s">
        <v>44</v>
      </c>
      <c r="P49">
        <v>10</v>
      </c>
      <c r="Q49">
        <v>964</v>
      </c>
      <c r="R49">
        <v>20</v>
      </c>
      <c r="S49">
        <v>19.712992910000001</v>
      </c>
      <c r="T49" t="s">
        <v>29</v>
      </c>
      <c r="U49">
        <v>0.38057358699999999</v>
      </c>
      <c r="V49" t="s">
        <v>46</v>
      </c>
      <c r="W49" t="s">
        <v>47</v>
      </c>
      <c r="X49">
        <v>581.60235509999995</v>
      </c>
    </row>
    <row r="50" spans="1:24" x14ac:dyDescent="0.25">
      <c r="A50" t="s">
        <v>23</v>
      </c>
      <c r="B50" t="s">
        <v>101</v>
      </c>
      <c r="C50">
        <v>76.035544430000002</v>
      </c>
      <c r="D50">
        <v>28</v>
      </c>
      <c r="E50">
        <v>29</v>
      </c>
      <c r="F50">
        <v>7397.0710049999998</v>
      </c>
      <c r="G50" t="s">
        <v>25</v>
      </c>
      <c r="H50">
        <v>30</v>
      </c>
      <c r="I50">
        <v>16</v>
      </c>
      <c r="J50">
        <v>9</v>
      </c>
      <c r="K50">
        <v>3</v>
      </c>
      <c r="L50" t="s">
        <v>42</v>
      </c>
      <c r="M50">
        <v>7.0958331570000004</v>
      </c>
      <c r="N50" t="s">
        <v>60</v>
      </c>
      <c r="O50" t="s">
        <v>28</v>
      </c>
      <c r="P50">
        <v>9</v>
      </c>
      <c r="Q50">
        <v>109</v>
      </c>
      <c r="R50">
        <v>18</v>
      </c>
      <c r="S50">
        <v>23.12636358</v>
      </c>
      <c r="T50" t="s">
        <v>45</v>
      </c>
      <c r="U50">
        <v>1.698112541</v>
      </c>
      <c r="V50" t="s">
        <v>46</v>
      </c>
      <c r="W50" t="s">
        <v>31</v>
      </c>
      <c r="X50">
        <v>768.65191400000003</v>
      </c>
    </row>
    <row r="51" spans="1:24" x14ac:dyDescent="0.25">
      <c r="A51" t="s">
        <v>56</v>
      </c>
      <c r="B51" t="s">
        <v>102</v>
      </c>
      <c r="C51">
        <v>78.897913209999999</v>
      </c>
      <c r="D51">
        <v>19</v>
      </c>
      <c r="E51">
        <v>99</v>
      </c>
      <c r="F51">
        <v>8001.6132070000003</v>
      </c>
      <c r="G51" t="s">
        <v>37</v>
      </c>
      <c r="H51">
        <v>97</v>
      </c>
      <c r="I51">
        <v>24</v>
      </c>
      <c r="J51">
        <v>9</v>
      </c>
      <c r="K51">
        <v>6</v>
      </c>
      <c r="L51" t="s">
        <v>42</v>
      </c>
      <c r="M51">
        <v>2.5056210330000002</v>
      </c>
      <c r="N51" t="s">
        <v>43</v>
      </c>
      <c r="O51" t="s">
        <v>49</v>
      </c>
      <c r="P51">
        <v>28</v>
      </c>
      <c r="Q51">
        <v>177</v>
      </c>
      <c r="R51">
        <v>28</v>
      </c>
      <c r="S51">
        <v>14.14781544</v>
      </c>
      <c r="T51" t="s">
        <v>63</v>
      </c>
      <c r="U51">
        <v>2.8258139849999999</v>
      </c>
      <c r="V51" t="s">
        <v>46</v>
      </c>
      <c r="W51" t="s">
        <v>47</v>
      </c>
      <c r="X51">
        <v>336.89016850000002</v>
      </c>
    </row>
    <row r="52" spans="1:24" x14ac:dyDescent="0.25">
      <c r="A52" t="s">
        <v>56</v>
      </c>
      <c r="B52" t="s">
        <v>103</v>
      </c>
      <c r="C52">
        <v>14.20348426</v>
      </c>
      <c r="D52">
        <v>91</v>
      </c>
      <c r="E52">
        <v>633</v>
      </c>
      <c r="F52">
        <v>5910.8853900000004</v>
      </c>
      <c r="G52" t="s">
        <v>34</v>
      </c>
      <c r="H52">
        <v>31</v>
      </c>
      <c r="I52">
        <v>23</v>
      </c>
      <c r="J52">
        <v>82</v>
      </c>
      <c r="K52">
        <v>10</v>
      </c>
      <c r="L52" t="s">
        <v>35</v>
      </c>
      <c r="M52">
        <v>6.2478609150000004</v>
      </c>
      <c r="N52" t="s">
        <v>60</v>
      </c>
      <c r="O52" t="s">
        <v>49</v>
      </c>
      <c r="P52">
        <v>20</v>
      </c>
      <c r="Q52">
        <v>306</v>
      </c>
      <c r="R52">
        <v>21</v>
      </c>
      <c r="S52">
        <v>45.178757920000002</v>
      </c>
      <c r="T52" t="s">
        <v>45</v>
      </c>
      <c r="U52">
        <v>4.7548008050000004</v>
      </c>
      <c r="V52" t="s">
        <v>46</v>
      </c>
      <c r="W52" t="s">
        <v>31</v>
      </c>
      <c r="X52">
        <v>496.24865030000001</v>
      </c>
    </row>
    <row r="53" spans="1:24" x14ac:dyDescent="0.25">
      <c r="A53" t="s">
        <v>23</v>
      </c>
      <c r="B53" t="s">
        <v>104</v>
      </c>
      <c r="C53">
        <v>26.700760970000001</v>
      </c>
      <c r="D53">
        <v>61</v>
      </c>
      <c r="E53">
        <v>154</v>
      </c>
      <c r="F53">
        <v>9866.4654580000006</v>
      </c>
      <c r="G53" t="s">
        <v>54</v>
      </c>
      <c r="H53">
        <v>100</v>
      </c>
      <c r="I53">
        <v>4</v>
      </c>
      <c r="J53">
        <v>52</v>
      </c>
      <c r="K53">
        <v>1</v>
      </c>
      <c r="L53" t="s">
        <v>35</v>
      </c>
      <c r="M53">
        <v>4.7830005580000003</v>
      </c>
      <c r="N53" t="s">
        <v>43</v>
      </c>
      <c r="O53" t="s">
        <v>52</v>
      </c>
      <c r="P53">
        <v>18</v>
      </c>
      <c r="Q53">
        <v>673</v>
      </c>
      <c r="R53">
        <v>28</v>
      </c>
      <c r="S53">
        <v>14.190328340000001</v>
      </c>
      <c r="T53" t="s">
        <v>29</v>
      </c>
      <c r="U53">
        <v>1.772951172</v>
      </c>
      <c r="V53" t="s">
        <v>30</v>
      </c>
      <c r="W53" t="s">
        <v>47</v>
      </c>
      <c r="X53">
        <v>694.98231759999999</v>
      </c>
    </row>
    <row r="54" spans="1:24" x14ac:dyDescent="0.25">
      <c r="A54" t="s">
        <v>32</v>
      </c>
      <c r="B54" t="s">
        <v>105</v>
      </c>
      <c r="C54">
        <v>98.03182966</v>
      </c>
      <c r="D54">
        <v>1</v>
      </c>
      <c r="E54">
        <v>820</v>
      </c>
      <c r="F54">
        <v>9435.7626089999994</v>
      </c>
      <c r="G54" t="s">
        <v>54</v>
      </c>
      <c r="H54">
        <v>64</v>
      </c>
      <c r="I54">
        <v>11</v>
      </c>
      <c r="J54">
        <v>11</v>
      </c>
      <c r="K54">
        <v>1</v>
      </c>
      <c r="L54" t="s">
        <v>26</v>
      </c>
      <c r="M54">
        <v>8.6310521799999993</v>
      </c>
      <c r="N54" t="s">
        <v>38</v>
      </c>
      <c r="O54" t="s">
        <v>28</v>
      </c>
      <c r="P54">
        <v>10</v>
      </c>
      <c r="Q54">
        <v>727</v>
      </c>
      <c r="R54">
        <v>27</v>
      </c>
      <c r="S54">
        <v>9.1668491490000008</v>
      </c>
      <c r="T54" t="s">
        <v>29</v>
      </c>
      <c r="U54">
        <v>2.1224716190000001</v>
      </c>
      <c r="V54" t="s">
        <v>39</v>
      </c>
      <c r="W54" t="s">
        <v>40</v>
      </c>
      <c r="X54">
        <v>602.89849879999997</v>
      </c>
    </row>
    <row r="55" spans="1:24" x14ac:dyDescent="0.25">
      <c r="A55" t="s">
        <v>32</v>
      </c>
      <c r="B55" t="s">
        <v>106</v>
      </c>
      <c r="C55">
        <v>30.341470709999999</v>
      </c>
      <c r="D55">
        <v>93</v>
      </c>
      <c r="E55">
        <v>242</v>
      </c>
      <c r="F55">
        <v>8232.3348289999994</v>
      </c>
      <c r="G55" t="s">
        <v>54</v>
      </c>
      <c r="H55">
        <v>96</v>
      </c>
      <c r="I55">
        <v>25</v>
      </c>
      <c r="J55">
        <v>54</v>
      </c>
      <c r="K55">
        <v>3</v>
      </c>
      <c r="L55" t="s">
        <v>26</v>
      </c>
      <c r="M55">
        <v>1.0134865660000001</v>
      </c>
      <c r="N55" t="s">
        <v>38</v>
      </c>
      <c r="O55" t="s">
        <v>49</v>
      </c>
      <c r="P55">
        <v>1</v>
      </c>
      <c r="Q55">
        <v>631</v>
      </c>
      <c r="R55">
        <v>17</v>
      </c>
      <c r="S55">
        <v>83.344058989999994</v>
      </c>
      <c r="T55" t="s">
        <v>29</v>
      </c>
      <c r="U55">
        <v>1.4103475759999999</v>
      </c>
      <c r="V55" t="s">
        <v>39</v>
      </c>
      <c r="W55" t="s">
        <v>31</v>
      </c>
      <c r="X55">
        <v>750.73784069999999</v>
      </c>
    </row>
    <row r="56" spans="1:24" x14ac:dyDescent="0.25">
      <c r="A56" t="s">
        <v>23</v>
      </c>
      <c r="B56" t="s">
        <v>107</v>
      </c>
      <c r="C56">
        <v>31.146243160000001</v>
      </c>
      <c r="D56">
        <v>11</v>
      </c>
      <c r="E56">
        <v>622</v>
      </c>
      <c r="F56">
        <v>6088.0214800000003</v>
      </c>
      <c r="G56" t="s">
        <v>25</v>
      </c>
      <c r="H56">
        <v>33</v>
      </c>
      <c r="I56">
        <v>22</v>
      </c>
      <c r="J56">
        <v>61</v>
      </c>
      <c r="K56">
        <v>3</v>
      </c>
      <c r="L56" t="s">
        <v>26</v>
      </c>
      <c r="M56">
        <v>4.3051034709999998</v>
      </c>
      <c r="N56" t="s">
        <v>38</v>
      </c>
      <c r="O56" t="s">
        <v>44</v>
      </c>
      <c r="P56">
        <v>26</v>
      </c>
      <c r="Q56">
        <v>497</v>
      </c>
      <c r="R56">
        <v>29</v>
      </c>
      <c r="S56">
        <v>30.186023380000002</v>
      </c>
      <c r="T56" t="s">
        <v>63</v>
      </c>
      <c r="U56">
        <v>2.478771976</v>
      </c>
      <c r="V56" t="s">
        <v>30</v>
      </c>
      <c r="W56" t="s">
        <v>31</v>
      </c>
      <c r="X56">
        <v>814.06999659999997</v>
      </c>
    </row>
    <row r="57" spans="1:24" x14ac:dyDescent="0.25">
      <c r="A57" t="s">
        <v>23</v>
      </c>
      <c r="B57" t="s">
        <v>108</v>
      </c>
      <c r="C57">
        <v>79.855058339999999</v>
      </c>
      <c r="D57">
        <v>16</v>
      </c>
      <c r="E57">
        <v>701</v>
      </c>
      <c r="F57">
        <v>2925.67517</v>
      </c>
      <c r="G57" t="s">
        <v>54</v>
      </c>
      <c r="H57">
        <v>97</v>
      </c>
      <c r="I57">
        <v>11</v>
      </c>
      <c r="J57">
        <v>11</v>
      </c>
      <c r="K57">
        <v>5</v>
      </c>
      <c r="L57" t="s">
        <v>35</v>
      </c>
      <c r="M57">
        <v>5.0143649549999996</v>
      </c>
      <c r="N57" t="s">
        <v>60</v>
      </c>
      <c r="O57" t="s">
        <v>49</v>
      </c>
      <c r="P57">
        <v>27</v>
      </c>
      <c r="Q57">
        <v>918</v>
      </c>
      <c r="R57">
        <v>5</v>
      </c>
      <c r="S57">
        <v>30.32354526</v>
      </c>
      <c r="T57" t="s">
        <v>45</v>
      </c>
      <c r="U57">
        <v>4.5489196590000001</v>
      </c>
      <c r="V57" t="s">
        <v>55</v>
      </c>
      <c r="W57" t="s">
        <v>31</v>
      </c>
      <c r="X57">
        <v>323.01292799999999</v>
      </c>
    </row>
    <row r="58" spans="1:24" x14ac:dyDescent="0.25">
      <c r="A58" t="s">
        <v>32</v>
      </c>
      <c r="B58" t="s">
        <v>109</v>
      </c>
      <c r="C58">
        <v>20.986386039999999</v>
      </c>
      <c r="D58">
        <v>90</v>
      </c>
      <c r="E58">
        <v>93</v>
      </c>
      <c r="F58">
        <v>4767.0204839999997</v>
      </c>
      <c r="G58" t="s">
        <v>25</v>
      </c>
      <c r="H58">
        <v>25</v>
      </c>
      <c r="I58">
        <v>23</v>
      </c>
      <c r="J58">
        <v>83</v>
      </c>
      <c r="K58">
        <v>5</v>
      </c>
      <c r="L58" t="s">
        <v>42</v>
      </c>
      <c r="M58">
        <v>1.774429714</v>
      </c>
      <c r="N58" t="s">
        <v>38</v>
      </c>
      <c r="O58" t="s">
        <v>28</v>
      </c>
      <c r="P58">
        <v>24</v>
      </c>
      <c r="Q58">
        <v>826</v>
      </c>
      <c r="R58">
        <v>28</v>
      </c>
      <c r="S58">
        <v>12.83628457</v>
      </c>
      <c r="T58" t="s">
        <v>63</v>
      </c>
      <c r="U58">
        <v>1.173755495</v>
      </c>
      <c r="V58" t="s">
        <v>39</v>
      </c>
      <c r="W58" t="s">
        <v>31</v>
      </c>
      <c r="X58">
        <v>832.21080870000003</v>
      </c>
    </row>
    <row r="59" spans="1:24" x14ac:dyDescent="0.25">
      <c r="A59" t="s">
        <v>23</v>
      </c>
      <c r="B59" t="s">
        <v>110</v>
      </c>
      <c r="C59">
        <v>49.26320535</v>
      </c>
      <c r="D59">
        <v>65</v>
      </c>
      <c r="E59">
        <v>227</v>
      </c>
      <c r="F59">
        <v>1605.8669</v>
      </c>
      <c r="G59" t="s">
        <v>37</v>
      </c>
      <c r="H59">
        <v>5</v>
      </c>
      <c r="I59">
        <v>18</v>
      </c>
      <c r="J59">
        <v>51</v>
      </c>
      <c r="K59">
        <v>1</v>
      </c>
      <c r="L59" t="s">
        <v>26</v>
      </c>
      <c r="M59">
        <v>9.1605585349999998</v>
      </c>
      <c r="N59" t="s">
        <v>60</v>
      </c>
      <c r="O59" t="s">
        <v>49</v>
      </c>
      <c r="P59">
        <v>21</v>
      </c>
      <c r="Q59">
        <v>588</v>
      </c>
      <c r="R59">
        <v>25</v>
      </c>
      <c r="S59">
        <v>67.779622989999993</v>
      </c>
      <c r="T59" t="s">
        <v>29</v>
      </c>
      <c r="U59">
        <v>2.5111748299999999</v>
      </c>
      <c r="V59" t="s">
        <v>46</v>
      </c>
      <c r="W59" t="s">
        <v>47</v>
      </c>
      <c r="X59">
        <v>482.19123860000002</v>
      </c>
    </row>
    <row r="60" spans="1:24" x14ac:dyDescent="0.25">
      <c r="A60" t="s">
        <v>32</v>
      </c>
      <c r="B60" t="s">
        <v>111</v>
      </c>
      <c r="C60">
        <v>59.841561380000002</v>
      </c>
      <c r="D60">
        <v>81</v>
      </c>
      <c r="E60">
        <v>896</v>
      </c>
      <c r="F60">
        <v>2021.1498099999999</v>
      </c>
      <c r="G60" t="s">
        <v>25</v>
      </c>
      <c r="H60">
        <v>10</v>
      </c>
      <c r="I60">
        <v>5</v>
      </c>
      <c r="J60">
        <v>44</v>
      </c>
      <c r="K60">
        <v>7</v>
      </c>
      <c r="L60" t="s">
        <v>35</v>
      </c>
      <c r="M60">
        <v>4.9384385650000002</v>
      </c>
      <c r="N60" t="s">
        <v>27</v>
      </c>
      <c r="O60" t="s">
        <v>49</v>
      </c>
      <c r="P60">
        <v>18</v>
      </c>
      <c r="Q60">
        <v>396</v>
      </c>
      <c r="R60">
        <v>7</v>
      </c>
      <c r="S60">
        <v>65.047415090000001</v>
      </c>
      <c r="T60" t="s">
        <v>45</v>
      </c>
      <c r="U60">
        <v>1.7303747199999999</v>
      </c>
      <c r="V60" t="s">
        <v>30</v>
      </c>
      <c r="W60" t="s">
        <v>31</v>
      </c>
      <c r="X60">
        <v>110.3643352</v>
      </c>
    </row>
    <row r="61" spans="1:24" x14ac:dyDescent="0.25">
      <c r="A61" t="s">
        <v>56</v>
      </c>
      <c r="B61" t="s">
        <v>112</v>
      </c>
      <c r="C61">
        <v>63.828398350000001</v>
      </c>
      <c r="D61">
        <v>30</v>
      </c>
      <c r="E61">
        <v>484</v>
      </c>
      <c r="F61">
        <v>1061.6185230000001</v>
      </c>
      <c r="G61" t="s">
        <v>25</v>
      </c>
      <c r="H61">
        <v>100</v>
      </c>
      <c r="I61">
        <v>16</v>
      </c>
      <c r="J61">
        <v>26</v>
      </c>
      <c r="K61">
        <v>7</v>
      </c>
      <c r="L61" t="s">
        <v>26</v>
      </c>
      <c r="M61">
        <v>7.2937225970000004</v>
      </c>
      <c r="N61" t="s">
        <v>38</v>
      </c>
      <c r="O61" t="s">
        <v>44</v>
      </c>
      <c r="P61">
        <v>11</v>
      </c>
      <c r="Q61">
        <v>176</v>
      </c>
      <c r="R61">
        <v>4</v>
      </c>
      <c r="S61">
        <v>1.900762244</v>
      </c>
      <c r="T61" t="s">
        <v>45</v>
      </c>
      <c r="U61">
        <v>0.447194015</v>
      </c>
      <c r="V61" t="s">
        <v>39</v>
      </c>
      <c r="W61" t="s">
        <v>47</v>
      </c>
      <c r="X61">
        <v>312.57427360000003</v>
      </c>
    </row>
    <row r="62" spans="1:24" x14ac:dyDescent="0.25">
      <c r="A62" t="s">
        <v>32</v>
      </c>
      <c r="B62" t="s">
        <v>113</v>
      </c>
      <c r="C62">
        <v>17.02802792</v>
      </c>
      <c r="D62">
        <v>16</v>
      </c>
      <c r="E62">
        <v>380</v>
      </c>
      <c r="F62">
        <v>8864.0843499999992</v>
      </c>
      <c r="G62" t="s">
        <v>34</v>
      </c>
      <c r="H62">
        <v>41</v>
      </c>
      <c r="I62">
        <v>27</v>
      </c>
      <c r="J62">
        <v>72</v>
      </c>
      <c r="K62">
        <v>8</v>
      </c>
      <c r="L62" t="s">
        <v>42</v>
      </c>
      <c r="M62">
        <v>4.3813681579999999</v>
      </c>
      <c r="N62" t="s">
        <v>51</v>
      </c>
      <c r="O62" t="s">
        <v>28</v>
      </c>
      <c r="P62">
        <v>29</v>
      </c>
      <c r="Q62">
        <v>929</v>
      </c>
      <c r="R62">
        <v>24</v>
      </c>
      <c r="S62">
        <v>87.213057820000003</v>
      </c>
      <c r="T62" t="s">
        <v>45</v>
      </c>
      <c r="U62">
        <v>2.8530906169999999</v>
      </c>
      <c r="V62" t="s">
        <v>46</v>
      </c>
      <c r="W62" t="s">
        <v>47</v>
      </c>
      <c r="X62">
        <v>430.16909700000002</v>
      </c>
    </row>
    <row r="63" spans="1:24" x14ac:dyDescent="0.25">
      <c r="A63" t="s">
        <v>23</v>
      </c>
      <c r="B63" t="s">
        <v>114</v>
      </c>
      <c r="C63">
        <v>52.028749900000001</v>
      </c>
      <c r="D63">
        <v>23</v>
      </c>
      <c r="E63">
        <v>117</v>
      </c>
      <c r="F63">
        <v>6885.5893509999996</v>
      </c>
      <c r="G63" t="s">
        <v>37</v>
      </c>
      <c r="H63">
        <v>32</v>
      </c>
      <c r="I63">
        <v>23</v>
      </c>
      <c r="J63">
        <v>36</v>
      </c>
      <c r="K63">
        <v>7</v>
      </c>
      <c r="L63" t="s">
        <v>42</v>
      </c>
      <c r="M63">
        <v>9.0303404230000002</v>
      </c>
      <c r="N63" t="s">
        <v>51</v>
      </c>
      <c r="O63" t="s">
        <v>44</v>
      </c>
      <c r="P63">
        <v>14</v>
      </c>
      <c r="Q63">
        <v>480</v>
      </c>
      <c r="R63">
        <v>12</v>
      </c>
      <c r="S63">
        <v>78.702393970000003</v>
      </c>
      <c r="T63" t="s">
        <v>45</v>
      </c>
      <c r="U63">
        <v>4.3674705380000001</v>
      </c>
      <c r="V63" t="s">
        <v>39</v>
      </c>
      <c r="W63" t="s">
        <v>47</v>
      </c>
      <c r="X63">
        <v>164.3665282</v>
      </c>
    </row>
    <row r="64" spans="1:24" x14ac:dyDescent="0.25">
      <c r="A64" t="s">
        <v>56</v>
      </c>
      <c r="B64" t="s">
        <v>115</v>
      </c>
      <c r="C64">
        <v>72.796353960000005</v>
      </c>
      <c r="D64">
        <v>89</v>
      </c>
      <c r="E64">
        <v>270</v>
      </c>
      <c r="F64">
        <v>3899.746834</v>
      </c>
      <c r="G64" t="s">
        <v>37</v>
      </c>
      <c r="H64">
        <v>86</v>
      </c>
      <c r="I64">
        <v>2</v>
      </c>
      <c r="J64">
        <v>40</v>
      </c>
      <c r="K64">
        <v>7</v>
      </c>
      <c r="L64" t="s">
        <v>42</v>
      </c>
      <c r="M64">
        <v>7.291701389</v>
      </c>
      <c r="N64" t="s">
        <v>60</v>
      </c>
      <c r="O64" t="s">
        <v>28</v>
      </c>
      <c r="P64">
        <v>13</v>
      </c>
      <c r="Q64">
        <v>751</v>
      </c>
      <c r="R64">
        <v>14</v>
      </c>
      <c r="S64">
        <v>21.048642730000001</v>
      </c>
      <c r="T64" t="s">
        <v>63</v>
      </c>
      <c r="U64">
        <v>1.8740014039999999</v>
      </c>
      <c r="V64" t="s">
        <v>55</v>
      </c>
      <c r="W64" t="s">
        <v>40</v>
      </c>
      <c r="X64">
        <v>320.84651580000002</v>
      </c>
    </row>
    <row r="65" spans="1:24" x14ac:dyDescent="0.25">
      <c r="A65" t="s">
        <v>32</v>
      </c>
      <c r="B65" t="s">
        <v>116</v>
      </c>
      <c r="C65">
        <v>13.01737679</v>
      </c>
      <c r="D65">
        <v>55</v>
      </c>
      <c r="E65">
        <v>246</v>
      </c>
      <c r="F65">
        <v>4256.9491410000001</v>
      </c>
      <c r="G65" t="s">
        <v>25</v>
      </c>
      <c r="H65">
        <v>54</v>
      </c>
      <c r="I65">
        <v>19</v>
      </c>
      <c r="J65">
        <v>10</v>
      </c>
      <c r="K65">
        <v>4</v>
      </c>
      <c r="L65" t="s">
        <v>35</v>
      </c>
      <c r="M65">
        <v>2.4579335279999999</v>
      </c>
      <c r="N65" t="s">
        <v>27</v>
      </c>
      <c r="O65" t="s">
        <v>52</v>
      </c>
      <c r="P65">
        <v>18</v>
      </c>
      <c r="Q65">
        <v>736</v>
      </c>
      <c r="R65">
        <v>10</v>
      </c>
      <c r="S65">
        <v>20.075003980000002</v>
      </c>
      <c r="T65" t="s">
        <v>29</v>
      </c>
      <c r="U65">
        <v>3.6328432899999998</v>
      </c>
      <c r="V65" t="s">
        <v>55</v>
      </c>
      <c r="W65" t="s">
        <v>47</v>
      </c>
      <c r="X65">
        <v>687.28617789999998</v>
      </c>
    </row>
    <row r="66" spans="1:24" x14ac:dyDescent="0.25">
      <c r="A66" t="s">
        <v>32</v>
      </c>
      <c r="B66" t="s">
        <v>117</v>
      </c>
      <c r="C66">
        <v>89.634095610000003</v>
      </c>
      <c r="D66">
        <v>11</v>
      </c>
      <c r="E66">
        <v>134</v>
      </c>
      <c r="F66">
        <v>8458.7308780000003</v>
      </c>
      <c r="G66" t="s">
        <v>34</v>
      </c>
      <c r="H66">
        <v>73</v>
      </c>
      <c r="I66">
        <v>27</v>
      </c>
      <c r="J66">
        <v>75</v>
      </c>
      <c r="K66">
        <v>6</v>
      </c>
      <c r="L66" t="s">
        <v>42</v>
      </c>
      <c r="M66">
        <v>4.5853534680000001</v>
      </c>
      <c r="N66" t="s">
        <v>38</v>
      </c>
      <c r="O66" t="s">
        <v>49</v>
      </c>
      <c r="P66">
        <v>17</v>
      </c>
      <c r="Q66">
        <v>328</v>
      </c>
      <c r="R66">
        <v>6</v>
      </c>
      <c r="S66">
        <v>8.6930424259999999</v>
      </c>
      <c r="T66" t="s">
        <v>45</v>
      </c>
      <c r="U66">
        <v>0.15948631499999999</v>
      </c>
      <c r="V66" t="s">
        <v>39</v>
      </c>
      <c r="W66" t="s">
        <v>40</v>
      </c>
      <c r="X66">
        <v>771.22508470000002</v>
      </c>
    </row>
    <row r="67" spans="1:24" x14ac:dyDescent="0.25">
      <c r="A67" t="s">
        <v>32</v>
      </c>
      <c r="B67" t="s">
        <v>118</v>
      </c>
      <c r="C67">
        <v>33.69771721</v>
      </c>
      <c r="D67">
        <v>72</v>
      </c>
      <c r="E67">
        <v>457</v>
      </c>
      <c r="F67">
        <v>8354.5796859999991</v>
      </c>
      <c r="G67" t="s">
        <v>54</v>
      </c>
      <c r="H67">
        <v>57</v>
      </c>
      <c r="I67">
        <v>24</v>
      </c>
      <c r="J67">
        <v>54</v>
      </c>
      <c r="K67">
        <v>8</v>
      </c>
      <c r="L67" t="s">
        <v>42</v>
      </c>
      <c r="M67">
        <v>6.5805413479999997</v>
      </c>
      <c r="N67" t="s">
        <v>43</v>
      </c>
      <c r="O67" t="s">
        <v>44</v>
      </c>
      <c r="P67">
        <v>16</v>
      </c>
      <c r="Q67">
        <v>358</v>
      </c>
      <c r="R67">
        <v>21</v>
      </c>
      <c r="S67">
        <v>1.5972227429999999</v>
      </c>
      <c r="T67" t="s">
        <v>45</v>
      </c>
      <c r="U67">
        <v>4.9110959550000004</v>
      </c>
      <c r="V67" t="s">
        <v>46</v>
      </c>
      <c r="W67" t="s">
        <v>40</v>
      </c>
      <c r="X67">
        <v>555.85910369999999</v>
      </c>
    </row>
    <row r="68" spans="1:24" x14ac:dyDescent="0.25">
      <c r="A68" t="s">
        <v>32</v>
      </c>
      <c r="B68" t="s">
        <v>119</v>
      </c>
      <c r="C68">
        <v>26.03486977</v>
      </c>
      <c r="D68">
        <v>52</v>
      </c>
      <c r="E68">
        <v>704</v>
      </c>
      <c r="F68">
        <v>8367.7216179999996</v>
      </c>
      <c r="G68" t="s">
        <v>34</v>
      </c>
      <c r="H68">
        <v>13</v>
      </c>
      <c r="I68">
        <v>17</v>
      </c>
      <c r="J68">
        <v>19</v>
      </c>
      <c r="K68">
        <v>8</v>
      </c>
      <c r="L68" t="s">
        <v>35</v>
      </c>
      <c r="M68">
        <v>2.216142729</v>
      </c>
      <c r="N68" t="s">
        <v>43</v>
      </c>
      <c r="O68" t="s">
        <v>44</v>
      </c>
      <c r="P68">
        <v>24</v>
      </c>
      <c r="Q68">
        <v>867</v>
      </c>
      <c r="R68">
        <v>28</v>
      </c>
      <c r="S68">
        <v>42.084436740000001</v>
      </c>
      <c r="T68" t="s">
        <v>45</v>
      </c>
      <c r="U68">
        <v>3.4480632880000002</v>
      </c>
      <c r="V68" t="s">
        <v>30</v>
      </c>
      <c r="W68" t="s">
        <v>47</v>
      </c>
      <c r="X68">
        <v>393.84334860000001</v>
      </c>
    </row>
    <row r="69" spans="1:24" x14ac:dyDescent="0.25">
      <c r="A69" t="s">
        <v>32</v>
      </c>
      <c r="B69" t="s">
        <v>120</v>
      </c>
      <c r="C69">
        <v>87.755432350000007</v>
      </c>
      <c r="D69">
        <v>16</v>
      </c>
      <c r="E69">
        <v>513</v>
      </c>
      <c r="F69">
        <v>9473.7980329999991</v>
      </c>
      <c r="G69" t="s">
        <v>37</v>
      </c>
      <c r="H69">
        <v>12</v>
      </c>
      <c r="I69">
        <v>9</v>
      </c>
      <c r="J69">
        <v>71</v>
      </c>
      <c r="K69">
        <v>9</v>
      </c>
      <c r="L69" t="s">
        <v>42</v>
      </c>
      <c r="M69">
        <v>9.1478115449999997</v>
      </c>
      <c r="N69" t="s">
        <v>38</v>
      </c>
      <c r="O69" t="s">
        <v>28</v>
      </c>
      <c r="P69">
        <v>10</v>
      </c>
      <c r="Q69">
        <v>198</v>
      </c>
      <c r="R69">
        <v>11</v>
      </c>
      <c r="S69">
        <v>7.057876147</v>
      </c>
      <c r="T69" t="s">
        <v>63</v>
      </c>
      <c r="U69">
        <v>0.13195544400000001</v>
      </c>
      <c r="V69" t="s">
        <v>55</v>
      </c>
      <c r="W69" t="s">
        <v>40</v>
      </c>
      <c r="X69">
        <v>169.27180139999999</v>
      </c>
    </row>
    <row r="70" spans="1:24" x14ac:dyDescent="0.25">
      <c r="A70" t="s">
        <v>23</v>
      </c>
      <c r="B70" t="s">
        <v>121</v>
      </c>
      <c r="C70">
        <v>37.931812379999997</v>
      </c>
      <c r="D70">
        <v>29</v>
      </c>
      <c r="E70">
        <v>163</v>
      </c>
      <c r="F70">
        <v>3550.218433</v>
      </c>
      <c r="G70" t="s">
        <v>25</v>
      </c>
      <c r="H70">
        <v>0</v>
      </c>
      <c r="I70">
        <v>8</v>
      </c>
      <c r="J70">
        <v>58</v>
      </c>
      <c r="K70">
        <v>8</v>
      </c>
      <c r="L70" t="s">
        <v>26</v>
      </c>
      <c r="M70">
        <v>1.194251865</v>
      </c>
      <c r="N70" t="s">
        <v>60</v>
      </c>
      <c r="O70" t="s">
        <v>52</v>
      </c>
      <c r="P70">
        <v>2</v>
      </c>
      <c r="Q70">
        <v>375</v>
      </c>
      <c r="R70">
        <v>18</v>
      </c>
      <c r="S70">
        <v>97.11358156</v>
      </c>
      <c r="T70" t="s">
        <v>45</v>
      </c>
      <c r="U70">
        <v>1.9834678720000001</v>
      </c>
      <c r="V70" t="s">
        <v>46</v>
      </c>
      <c r="W70" t="s">
        <v>47</v>
      </c>
      <c r="X70">
        <v>299.70630310000001</v>
      </c>
    </row>
    <row r="71" spans="1:24" x14ac:dyDescent="0.25">
      <c r="A71" t="s">
        <v>32</v>
      </c>
      <c r="B71" t="s">
        <v>122</v>
      </c>
      <c r="C71">
        <v>54.865528519999998</v>
      </c>
      <c r="D71">
        <v>62</v>
      </c>
      <c r="E71">
        <v>511</v>
      </c>
      <c r="F71">
        <v>1752.381087</v>
      </c>
      <c r="G71" t="s">
        <v>25</v>
      </c>
      <c r="H71">
        <v>95</v>
      </c>
      <c r="I71">
        <v>1</v>
      </c>
      <c r="J71">
        <v>27</v>
      </c>
      <c r="K71">
        <v>3</v>
      </c>
      <c r="L71" t="s">
        <v>26</v>
      </c>
      <c r="M71">
        <v>9.7052867900000006</v>
      </c>
      <c r="N71" t="s">
        <v>51</v>
      </c>
      <c r="O71" t="s">
        <v>44</v>
      </c>
      <c r="P71">
        <v>9</v>
      </c>
      <c r="Q71">
        <v>862</v>
      </c>
      <c r="R71">
        <v>7</v>
      </c>
      <c r="S71">
        <v>77.62776581</v>
      </c>
      <c r="T71" t="s">
        <v>29</v>
      </c>
      <c r="U71">
        <v>1.3623879889999999</v>
      </c>
      <c r="V71" t="s">
        <v>39</v>
      </c>
      <c r="W71" t="s">
        <v>47</v>
      </c>
      <c r="X71">
        <v>207.66320619999999</v>
      </c>
    </row>
    <row r="72" spans="1:24" x14ac:dyDescent="0.25">
      <c r="A72" t="s">
        <v>23</v>
      </c>
      <c r="B72" t="s">
        <v>123</v>
      </c>
      <c r="C72">
        <v>47.914541819999997</v>
      </c>
      <c r="D72">
        <v>90</v>
      </c>
      <c r="E72">
        <v>32</v>
      </c>
      <c r="F72">
        <v>7014.8879870000001</v>
      </c>
      <c r="G72" t="s">
        <v>34</v>
      </c>
      <c r="H72">
        <v>10</v>
      </c>
      <c r="I72">
        <v>12</v>
      </c>
      <c r="J72">
        <v>22</v>
      </c>
      <c r="K72">
        <v>4</v>
      </c>
      <c r="L72" t="s">
        <v>26</v>
      </c>
      <c r="M72">
        <v>6.3157177549999997</v>
      </c>
      <c r="N72" t="s">
        <v>38</v>
      </c>
      <c r="O72" t="s">
        <v>52</v>
      </c>
      <c r="P72">
        <v>22</v>
      </c>
      <c r="Q72">
        <v>775</v>
      </c>
      <c r="R72">
        <v>16</v>
      </c>
      <c r="S72">
        <v>11.44078182</v>
      </c>
      <c r="T72" t="s">
        <v>63</v>
      </c>
      <c r="U72">
        <v>1.8305755990000001</v>
      </c>
      <c r="V72" t="s">
        <v>30</v>
      </c>
      <c r="W72" t="s">
        <v>40</v>
      </c>
      <c r="X72">
        <v>183.27289870000001</v>
      </c>
    </row>
    <row r="73" spans="1:24" x14ac:dyDescent="0.25">
      <c r="A73" t="s">
        <v>56</v>
      </c>
      <c r="B73" t="s">
        <v>124</v>
      </c>
      <c r="C73">
        <v>6.3815331630000003</v>
      </c>
      <c r="D73">
        <v>14</v>
      </c>
      <c r="E73">
        <v>637</v>
      </c>
      <c r="F73">
        <v>8180.3370850000001</v>
      </c>
      <c r="G73" t="s">
        <v>34</v>
      </c>
      <c r="H73">
        <v>76</v>
      </c>
      <c r="I73">
        <v>2</v>
      </c>
      <c r="J73">
        <v>26</v>
      </c>
      <c r="K73">
        <v>6</v>
      </c>
      <c r="L73" t="s">
        <v>35</v>
      </c>
      <c r="M73">
        <v>9.2281903169999993</v>
      </c>
      <c r="N73" t="s">
        <v>60</v>
      </c>
      <c r="O73" t="s">
        <v>52</v>
      </c>
      <c r="P73">
        <v>2</v>
      </c>
      <c r="Q73">
        <v>258</v>
      </c>
      <c r="R73">
        <v>10</v>
      </c>
      <c r="S73">
        <v>30.661677480000002</v>
      </c>
      <c r="T73" t="s">
        <v>29</v>
      </c>
      <c r="U73">
        <v>2.078750608</v>
      </c>
      <c r="V73" t="s">
        <v>30</v>
      </c>
      <c r="W73" t="s">
        <v>47</v>
      </c>
      <c r="X73">
        <v>405.16706790000001</v>
      </c>
    </row>
    <row r="74" spans="1:24" x14ac:dyDescent="0.25">
      <c r="A74" t="s">
        <v>56</v>
      </c>
      <c r="B74" t="s">
        <v>125</v>
      </c>
      <c r="C74">
        <v>90.204427519999996</v>
      </c>
      <c r="D74">
        <v>88</v>
      </c>
      <c r="E74">
        <v>478</v>
      </c>
      <c r="F74">
        <v>2633.1219809999998</v>
      </c>
      <c r="G74" t="s">
        <v>25</v>
      </c>
      <c r="H74">
        <v>57</v>
      </c>
      <c r="I74">
        <v>29</v>
      </c>
      <c r="J74">
        <v>77</v>
      </c>
      <c r="K74">
        <v>9</v>
      </c>
      <c r="L74" t="s">
        <v>35</v>
      </c>
      <c r="M74">
        <v>6.5996141599999998</v>
      </c>
      <c r="N74" t="s">
        <v>38</v>
      </c>
      <c r="O74" t="s">
        <v>52</v>
      </c>
      <c r="P74">
        <v>21</v>
      </c>
      <c r="Q74">
        <v>152</v>
      </c>
      <c r="R74">
        <v>11</v>
      </c>
      <c r="S74">
        <v>55.760492900000003</v>
      </c>
      <c r="T74" t="s">
        <v>29</v>
      </c>
      <c r="U74">
        <v>3.2133296069999999</v>
      </c>
      <c r="V74" t="s">
        <v>46</v>
      </c>
      <c r="W74" t="s">
        <v>31</v>
      </c>
      <c r="X74">
        <v>677.94456979999995</v>
      </c>
    </row>
    <row r="75" spans="1:24" x14ac:dyDescent="0.25">
      <c r="A75" t="s">
        <v>56</v>
      </c>
      <c r="B75" t="s">
        <v>126</v>
      </c>
      <c r="C75">
        <v>83.851017679999998</v>
      </c>
      <c r="D75">
        <v>41</v>
      </c>
      <c r="E75">
        <v>375</v>
      </c>
      <c r="F75">
        <v>7910.8869160000004</v>
      </c>
      <c r="G75" t="s">
        <v>54</v>
      </c>
      <c r="H75">
        <v>17</v>
      </c>
      <c r="I75">
        <v>25</v>
      </c>
      <c r="J75">
        <v>66</v>
      </c>
      <c r="K75">
        <v>5</v>
      </c>
      <c r="L75" t="s">
        <v>26</v>
      </c>
      <c r="M75">
        <v>1.512936837</v>
      </c>
      <c r="N75" t="s">
        <v>51</v>
      </c>
      <c r="O75" t="s">
        <v>61</v>
      </c>
      <c r="P75">
        <v>13</v>
      </c>
      <c r="Q75">
        <v>444</v>
      </c>
      <c r="R75">
        <v>4</v>
      </c>
      <c r="S75">
        <v>46.870238800000003</v>
      </c>
      <c r="T75" t="s">
        <v>45</v>
      </c>
      <c r="U75">
        <v>4.6205460650000001</v>
      </c>
      <c r="V75" t="s">
        <v>30</v>
      </c>
      <c r="W75" t="s">
        <v>47</v>
      </c>
      <c r="X75">
        <v>866.47280009999997</v>
      </c>
    </row>
    <row r="76" spans="1:24" x14ac:dyDescent="0.25">
      <c r="A76" t="s">
        <v>23</v>
      </c>
      <c r="B76" t="s">
        <v>127</v>
      </c>
      <c r="C76">
        <v>3.1700114140000002</v>
      </c>
      <c r="D76">
        <v>64</v>
      </c>
      <c r="E76">
        <v>904</v>
      </c>
      <c r="F76">
        <v>5709.9452959999999</v>
      </c>
      <c r="G76" t="s">
        <v>34</v>
      </c>
      <c r="H76">
        <v>41</v>
      </c>
      <c r="I76">
        <v>6</v>
      </c>
      <c r="J76">
        <v>1</v>
      </c>
      <c r="K76">
        <v>5</v>
      </c>
      <c r="L76" t="s">
        <v>35</v>
      </c>
      <c r="M76">
        <v>5.2376546499999996</v>
      </c>
      <c r="N76" t="s">
        <v>51</v>
      </c>
      <c r="O76" t="s">
        <v>49</v>
      </c>
      <c r="P76">
        <v>1</v>
      </c>
      <c r="Q76">
        <v>919</v>
      </c>
      <c r="R76">
        <v>9</v>
      </c>
      <c r="S76">
        <v>80.580852160000006</v>
      </c>
      <c r="T76" t="s">
        <v>45</v>
      </c>
      <c r="U76">
        <v>0.39661272400000003</v>
      </c>
      <c r="V76" t="s">
        <v>46</v>
      </c>
      <c r="W76" t="s">
        <v>47</v>
      </c>
      <c r="X76">
        <v>341.55265680000002</v>
      </c>
    </row>
    <row r="77" spans="1:24" x14ac:dyDescent="0.25">
      <c r="A77" t="s">
        <v>32</v>
      </c>
      <c r="B77" t="s">
        <v>128</v>
      </c>
      <c r="C77">
        <v>92.996884230000006</v>
      </c>
      <c r="D77">
        <v>29</v>
      </c>
      <c r="E77">
        <v>106</v>
      </c>
      <c r="F77">
        <v>1889.07359</v>
      </c>
      <c r="G77" t="s">
        <v>25</v>
      </c>
      <c r="H77">
        <v>16</v>
      </c>
      <c r="I77">
        <v>20</v>
      </c>
      <c r="J77">
        <v>56</v>
      </c>
      <c r="K77">
        <v>10</v>
      </c>
      <c r="L77" t="s">
        <v>42</v>
      </c>
      <c r="M77">
        <v>2.4738977609999999</v>
      </c>
      <c r="N77" t="s">
        <v>38</v>
      </c>
      <c r="O77" t="s">
        <v>61</v>
      </c>
      <c r="P77">
        <v>25</v>
      </c>
      <c r="Q77">
        <v>759</v>
      </c>
      <c r="R77">
        <v>11</v>
      </c>
      <c r="S77">
        <v>48.064782639999997</v>
      </c>
      <c r="T77" t="s">
        <v>63</v>
      </c>
      <c r="U77">
        <v>2.0300690889999999</v>
      </c>
      <c r="V77" t="s">
        <v>39</v>
      </c>
      <c r="W77" t="s">
        <v>40</v>
      </c>
      <c r="X77">
        <v>873.12964799999997</v>
      </c>
    </row>
    <row r="78" spans="1:24" x14ac:dyDescent="0.25">
      <c r="A78" t="s">
        <v>23</v>
      </c>
      <c r="B78" t="s">
        <v>129</v>
      </c>
      <c r="C78">
        <v>69.108799550000001</v>
      </c>
      <c r="D78">
        <v>23</v>
      </c>
      <c r="E78">
        <v>241</v>
      </c>
      <c r="F78">
        <v>5328.3759840000002</v>
      </c>
      <c r="G78" t="s">
        <v>54</v>
      </c>
      <c r="H78">
        <v>38</v>
      </c>
      <c r="I78">
        <v>1</v>
      </c>
      <c r="J78">
        <v>22</v>
      </c>
      <c r="K78">
        <v>10</v>
      </c>
      <c r="L78" t="s">
        <v>35</v>
      </c>
      <c r="M78">
        <v>7.0545383370000003</v>
      </c>
      <c r="N78" t="s">
        <v>60</v>
      </c>
      <c r="O78" t="s">
        <v>52</v>
      </c>
      <c r="P78">
        <v>25</v>
      </c>
      <c r="Q78">
        <v>985</v>
      </c>
      <c r="R78">
        <v>24</v>
      </c>
      <c r="S78">
        <v>64.323597800000002</v>
      </c>
      <c r="T78" t="s">
        <v>29</v>
      </c>
      <c r="U78">
        <v>2.1800374520000001</v>
      </c>
      <c r="V78" t="s">
        <v>46</v>
      </c>
      <c r="W78" t="s">
        <v>47</v>
      </c>
      <c r="X78">
        <v>997.41345009999998</v>
      </c>
    </row>
    <row r="79" spans="1:24" x14ac:dyDescent="0.25">
      <c r="A79" t="s">
        <v>23</v>
      </c>
      <c r="B79" t="s">
        <v>130</v>
      </c>
      <c r="C79">
        <v>57.449742960000002</v>
      </c>
      <c r="D79">
        <v>14</v>
      </c>
      <c r="E79">
        <v>359</v>
      </c>
      <c r="F79">
        <v>2483.760178</v>
      </c>
      <c r="G79" t="s">
        <v>37</v>
      </c>
      <c r="H79">
        <v>96</v>
      </c>
      <c r="I79">
        <v>28</v>
      </c>
      <c r="J79">
        <v>57</v>
      </c>
      <c r="K79">
        <v>4</v>
      </c>
      <c r="L79" t="s">
        <v>26</v>
      </c>
      <c r="M79">
        <v>6.7809466260000004</v>
      </c>
      <c r="N79" t="s">
        <v>38</v>
      </c>
      <c r="O79" t="s">
        <v>44</v>
      </c>
      <c r="P79">
        <v>26</v>
      </c>
      <c r="Q79">
        <v>334</v>
      </c>
      <c r="R79">
        <v>5</v>
      </c>
      <c r="S79">
        <v>42.952444749999998</v>
      </c>
      <c r="T79" t="s">
        <v>63</v>
      </c>
      <c r="U79">
        <v>3.0551418180000001</v>
      </c>
      <c r="V79" t="s">
        <v>30</v>
      </c>
      <c r="W79" t="s">
        <v>31</v>
      </c>
      <c r="X79">
        <v>852.5680989</v>
      </c>
    </row>
    <row r="80" spans="1:24" x14ac:dyDescent="0.25">
      <c r="A80" t="s">
        <v>23</v>
      </c>
      <c r="B80" t="s">
        <v>131</v>
      </c>
      <c r="C80">
        <v>6.3068831760000004</v>
      </c>
      <c r="D80">
        <v>50</v>
      </c>
      <c r="E80">
        <v>946</v>
      </c>
      <c r="F80">
        <v>1292.4584179999999</v>
      </c>
      <c r="G80" t="s">
        <v>37</v>
      </c>
      <c r="H80">
        <v>5</v>
      </c>
      <c r="I80">
        <v>4</v>
      </c>
      <c r="J80">
        <v>51</v>
      </c>
      <c r="K80">
        <v>5</v>
      </c>
      <c r="L80" t="s">
        <v>26</v>
      </c>
      <c r="M80">
        <v>8.4670497709999992</v>
      </c>
      <c r="N80" t="s">
        <v>43</v>
      </c>
      <c r="O80" t="s">
        <v>28</v>
      </c>
      <c r="P80">
        <v>25</v>
      </c>
      <c r="Q80">
        <v>858</v>
      </c>
      <c r="R80">
        <v>21</v>
      </c>
      <c r="S80">
        <v>71.126514720000003</v>
      </c>
      <c r="T80" t="s">
        <v>29</v>
      </c>
      <c r="U80">
        <v>4.0968813319999997</v>
      </c>
      <c r="V80" t="s">
        <v>55</v>
      </c>
      <c r="W80" t="s">
        <v>40</v>
      </c>
      <c r="X80">
        <v>323.59220340000002</v>
      </c>
    </row>
    <row r="81" spans="1:24" x14ac:dyDescent="0.25">
      <c r="A81" t="s">
        <v>23</v>
      </c>
      <c r="B81" t="s">
        <v>132</v>
      </c>
      <c r="C81">
        <v>57.057031219999999</v>
      </c>
      <c r="D81">
        <v>56</v>
      </c>
      <c r="E81">
        <v>198</v>
      </c>
      <c r="F81">
        <v>7888.7232679999997</v>
      </c>
      <c r="G81" t="s">
        <v>25</v>
      </c>
      <c r="H81">
        <v>31</v>
      </c>
      <c r="I81">
        <v>25</v>
      </c>
      <c r="J81">
        <v>20</v>
      </c>
      <c r="K81">
        <v>1</v>
      </c>
      <c r="L81" t="s">
        <v>26</v>
      </c>
      <c r="M81">
        <v>6.4963253639999996</v>
      </c>
      <c r="N81" t="s">
        <v>27</v>
      </c>
      <c r="O81" t="s">
        <v>52</v>
      </c>
      <c r="P81">
        <v>5</v>
      </c>
      <c r="Q81">
        <v>228</v>
      </c>
      <c r="R81">
        <v>12</v>
      </c>
      <c r="S81">
        <v>57.870902919999999</v>
      </c>
      <c r="T81" t="s">
        <v>29</v>
      </c>
      <c r="U81">
        <v>0.16587162699999999</v>
      </c>
      <c r="V81" t="s">
        <v>39</v>
      </c>
      <c r="W81" t="s">
        <v>40</v>
      </c>
      <c r="X81">
        <v>351.50421929999999</v>
      </c>
    </row>
    <row r="82" spans="1:24" x14ac:dyDescent="0.25">
      <c r="A82" t="s">
        <v>32</v>
      </c>
      <c r="B82" t="s">
        <v>133</v>
      </c>
      <c r="C82">
        <v>91.128318350000001</v>
      </c>
      <c r="D82">
        <v>75</v>
      </c>
      <c r="E82">
        <v>872</v>
      </c>
      <c r="F82">
        <v>8651.6726830000007</v>
      </c>
      <c r="G82" t="s">
        <v>37</v>
      </c>
      <c r="H82">
        <v>39</v>
      </c>
      <c r="I82">
        <v>14</v>
      </c>
      <c r="J82">
        <v>41</v>
      </c>
      <c r="K82">
        <v>2</v>
      </c>
      <c r="L82" t="s">
        <v>42</v>
      </c>
      <c r="M82">
        <v>2.8331846789999999</v>
      </c>
      <c r="N82" t="s">
        <v>27</v>
      </c>
      <c r="O82" t="s">
        <v>61</v>
      </c>
      <c r="P82">
        <v>8</v>
      </c>
      <c r="Q82">
        <v>202</v>
      </c>
      <c r="R82">
        <v>5</v>
      </c>
      <c r="S82">
        <v>76.961228019999993</v>
      </c>
      <c r="T82" t="s">
        <v>45</v>
      </c>
      <c r="U82">
        <v>2.849662199</v>
      </c>
      <c r="V82" t="s">
        <v>55</v>
      </c>
      <c r="W82" t="s">
        <v>31</v>
      </c>
      <c r="X82">
        <v>787.77985049999995</v>
      </c>
    </row>
    <row r="83" spans="1:24" x14ac:dyDescent="0.25">
      <c r="A83" t="s">
        <v>23</v>
      </c>
      <c r="B83" t="s">
        <v>134</v>
      </c>
      <c r="C83">
        <v>72.819206930000007</v>
      </c>
      <c r="D83">
        <v>9</v>
      </c>
      <c r="E83">
        <v>774</v>
      </c>
      <c r="F83">
        <v>4384.4134000000004</v>
      </c>
      <c r="G83" t="s">
        <v>37</v>
      </c>
      <c r="H83">
        <v>48</v>
      </c>
      <c r="I83">
        <v>6</v>
      </c>
      <c r="J83">
        <v>8</v>
      </c>
      <c r="K83">
        <v>5</v>
      </c>
      <c r="L83" t="s">
        <v>26</v>
      </c>
      <c r="M83">
        <v>4.0662775020000002</v>
      </c>
      <c r="N83" t="s">
        <v>27</v>
      </c>
      <c r="O83" t="s">
        <v>49</v>
      </c>
      <c r="P83">
        <v>28</v>
      </c>
      <c r="Q83">
        <v>698</v>
      </c>
      <c r="R83">
        <v>1</v>
      </c>
      <c r="S83">
        <v>19.789592939999999</v>
      </c>
      <c r="T83" t="s">
        <v>29</v>
      </c>
      <c r="U83">
        <v>2.5475471220000001</v>
      </c>
      <c r="V83" t="s">
        <v>46</v>
      </c>
      <c r="W83" t="s">
        <v>31</v>
      </c>
      <c r="X83">
        <v>276.7783359</v>
      </c>
    </row>
    <row r="84" spans="1:24" x14ac:dyDescent="0.25">
      <c r="A84" t="s">
        <v>32</v>
      </c>
      <c r="B84" t="s">
        <v>135</v>
      </c>
      <c r="C84">
        <v>17.03493074</v>
      </c>
      <c r="D84">
        <v>13</v>
      </c>
      <c r="E84">
        <v>336</v>
      </c>
      <c r="F84">
        <v>2943.3818679999999</v>
      </c>
      <c r="G84" t="s">
        <v>37</v>
      </c>
      <c r="H84">
        <v>42</v>
      </c>
      <c r="I84">
        <v>19</v>
      </c>
      <c r="J84">
        <v>72</v>
      </c>
      <c r="K84">
        <v>1</v>
      </c>
      <c r="L84" t="s">
        <v>35</v>
      </c>
      <c r="M84">
        <v>4.7081818740000001</v>
      </c>
      <c r="N84" t="s">
        <v>60</v>
      </c>
      <c r="O84" t="s">
        <v>28</v>
      </c>
      <c r="P84">
        <v>6</v>
      </c>
      <c r="Q84">
        <v>955</v>
      </c>
      <c r="R84">
        <v>26</v>
      </c>
      <c r="S84">
        <v>4.4652784350000001</v>
      </c>
      <c r="T84" t="s">
        <v>29</v>
      </c>
      <c r="U84">
        <v>4.1378770490000001</v>
      </c>
      <c r="V84" t="s">
        <v>30</v>
      </c>
      <c r="W84" t="s">
        <v>40</v>
      </c>
      <c r="X84">
        <v>589.97855560000005</v>
      </c>
    </row>
    <row r="85" spans="1:24" x14ac:dyDescent="0.25">
      <c r="A85" t="s">
        <v>23</v>
      </c>
      <c r="B85" t="s">
        <v>136</v>
      </c>
      <c r="C85">
        <v>68.911246210000002</v>
      </c>
      <c r="D85">
        <v>82</v>
      </c>
      <c r="E85">
        <v>663</v>
      </c>
      <c r="F85">
        <v>2411.7546320000001</v>
      </c>
      <c r="G85" t="s">
        <v>37</v>
      </c>
      <c r="H85">
        <v>65</v>
      </c>
      <c r="I85">
        <v>24</v>
      </c>
      <c r="J85">
        <v>7</v>
      </c>
      <c r="K85">
        <v>8</v>
      </c>
      <c r="L85" t="s">
        <v>26</v>
      </c>
      <c r="M85">
        <v>4.9498395779999997</v>
      </c>
      <c r="N85" t="s">
        <v>38</v>
      </c>
      <c r="O85" t="s">
        <v>52</v>
      </c>
      <c r="P85">
        <v>20</v>
      </c>
      <c r="Q85">
        <v>443</v>
      </c>
      <c r="R85">
        <v>5</v>
      </c>
      <c r="S85">
        <v>97.730593799999994</v>
      </c>
      <c r="T85" t="s">
        <v>45</v>
      </c>
      <c r="U85">
        <v>0.77300613399999996</v>
      </c>
      <c r="V85" t="s">
        <v>30</v>
      </c>
      <c r="W85" t="s">
        <v>47</v>
      </c>
      <c r="X85">
        <v>682.9710182</v>
      </c>
    </row>
    <row r="86" spans="1:24" x14ac:dyDescent="0.25">
      <c r="A86" t="s">
        <v>23</v>
      </c>
      <c r="B86" t="s">
        <v>137</v>
      </c>
      <c r="C86">
        <v>89.104367289999999</v>
      </c>
      <c r="D86">
        <v>99</v>
      </c>
      <c r="E86">
        <v>618</v>
      </c>
      <c r="F86">
        <v>2048.2901000000002</v>
      </c>
      <c r="G86" t="s">
        <v>37</v>
      </c>
      <c r="H86">
        <v>73</v>
      </c>
      <c r="I86">
        <v>26</v>
      </c>
      <c r="J86">
        <v>80</v>
      </c>
      <c r="K86">
        <v>10</v>
      </c>
      <c r="L86" t="s">
        <v>35</v>
      </c>
      <c r="M86">
        <v>8.3816156250000002</v>
      </c>
      <c r="N86" t="s">
        <v>43</v>
      </c>
      <c r="O86" t="s">
        <v>61</v>
      </c>
      <c r="P86">
        <v>24</v>
      </c>
      <c r="Q86">
        <v>589</v>
      </c>
      <c r="R86">
        <v>22</v>
      </c>
      <c r="S86">
        <v>33.808636509999999</v>
      </c>
      <c r="T86" t="s">
        <v>63</v>
      </c>
      <c r="U86">
        <v>4.8434565770000004</v>
      </c>
      <c r="V86" t="s">
        <v>39</v>
      </c>
      <c r="W86" t="s">
        <v>31</v>
      </c>
      <c r="X86">
        <v>465.45700599999998</v>
      </c>
    </row>
    <row r="87" spans="1:24" x14ac:dyDescent="0.25">
      <c r="A87" t="s">
        <v>56</v>
      </c>
      <c r="B87" t="s">
        <v>138</v>
      </c>
      <c r="C87">
        <v>76.962994420000001</v>
      </c>
      <c r="D87">
        <v>83</v>
      </c>
      <c r="E87">
        <v>25</v>
      </c>
      <c r="F87">
        <v>8684.6130589999993</v>
      </c>
      <c r="G87" t="s">
        <v>34</v>
      </c>
      <c r="H87">
        <v>15</v>
      </c>
      <c r="I87">
        <v>18</v>
      </c>
      <c r="J87">
        <v>66</v>
      </c>
      <c r="K87">
        <v>2</v>
      </c>
      <c r="L87" t="s">
        <v>42</v>
      </c>
      <c r="M87">
        <v>8.2491687050000007</v>
      </c>
      <c r="N87" t="s">
        <v>43</v>
      </c>
      <c r="O87" t="s">
        <v>61</v>
      </c>
      <c r="P87">
        <v>4</v>
      </c>
      <c r="Q87">
        <v>211</v>
      </c>
      <c r="R87">
        <v>2</v>
      </c>
      <c r="S87">
        <v>69.929345519999998</v>
      </c>
      <c r="T87" t="s">
        <v>45</v>
      </c>
      <c r="U87">
        <v>1.3744289999999999</v>
      </c>
      <c r="V87" t="s">
        <v>30</v>
      </c>
      <c r="W87" t="s">
        <v>31</v>
      </c>
      <c r="X87">
        <v>842.68682999999999</v>
      </c>
    </row>
    <row r="88" spans="1:24" x14ac:dyDescent="0.25">
      <c r="A88" t="s">
        <v>32</v>
      </c>
      <c r="B88" t="s">
        <v>139</v>
      </c>
      <c r="C88">
        <v>19.99817694</v>
      </c>
      <c r="D88">
        <v>18</v>
      </c>
      <c r="E88">
        <v>223</v>
      </c>
      <c r="F88">
        <v>1229.5910289999999</v>
      </c>
      <c r="G88" t="s">
        <v>37</v>
      </c>
      <c r="H88">
        <v>32</v>
      </c>
      <c r="I88">
        <v>14</v>
      </c>
      <c r="J88">
        <v>22</v>
      </c>
      <c r="K88">
        <v>6</v>
      </c>
      <c r="L88" t="s">
        <v>26</v>
      </c>
      <c r="M88">
        <v>1.4543053100000001</v>
      </c>
      <c r="N88" t="s">
        <v>38</v>
      </c>
      <c r="O88" t="s">
        <v>28</v>
      </c>
      <c r="P88">
        <v>4</v>
      </c>
      <c r="Q88">
        <v>569</v>
      </c>
      <c r="R88">
        <v>18</v>
      </c>
      <c r="S88">
        <v>74.608969999999999</v>
      </c>
      <c r="T88" t="s">
        <v>63</v>
      </c>
      <c r="U88">
        <v>2.051512931</v>
      </c>
      <c r="V88" t="s">
        <v>46</v>
      </c>
      <c r="W88" t="s">
        <v>47</v>
      </c>
      <c r="X88">
        <v>264.2548898</v>
      </c>
    </row>
    <row r="89" spans="1:24" x14ac:dyDescent="0.25">
      <c r="A89" t="s">
        <v>23</v>
      </c>
      <c r="B89" t="s">
        <v>140</v>
      </c>
      <c r="C89">
        <v>80.41403665</v>
      </c>
      <c r="D89">
        <v>24</v>
      </c>
      <c r="E89">
        <v>79</v>
      </c>
      <c r="F89">
        <v>5133.8467010000004</v>
      </c>
      <c r="G89" t="s">
        <v>54</v>
      </c>
      <c r="H89">
        <v>5</v>
      </c>
      <c r="I89">
        <v>7</v>
      </c>
      <c r="J89">
        <v>55</v>
      </c>
      <c r="K89">
        <v>10</v>
      </c>
      <c r="L89" t="s">
        <v>35</v>
      </c>
      <c r="M89">
        <v>6.5758037979999999</v>
      </c>
      <c r="N89" t="s">
        <v>27</v>
      </c>
      <c r="O89" t="s">
        <v>61</v>
      </c>
      <c r="P89">
        <v>27</v>
      </c>
      <c r="Q89">
        <v>523</v>
      </c>
      <c r="R89">
        <v>17</v>
      </c>
      <c r="S89">
        <v>28.696996819999999</v>
      </c>
      <c r="T89" t="s">
        <v>45</v>
      </c>
      <c r="U89">
        <v>3.693737788</v>
      </c>
      <c r="V89" t="s">
        <v>55</v>
      </c>
      <c r="W89" t="s">
        <v>31</v>
      </c>
      <c r="X89">
        <v>879.35921770000004</v>
      </c>
    </row>
    <row r="90" spans="1:24" x14ac:dyDescent="0.25">
      <c r="A90" t="s">
        <v>56</v>
      </c>
      <c r="B90" t="s">
        <v>141</v>
      </c>
      <c r="C90">
        <v>75.270406980000004</v>
      </c>
      <c r="D90">
        <v>58</v>
      </c>
      <c r="E90">
        <v>737</v>
      </c>
      <c r="F90">
        <v>9444.7420330000004</v>
      </c>
      <c r="G90" t="s">
        <v>54</v>
      </c>
      <c r="H90">
        <v>60</v>
      </c>
      <c r="I90">
        <v>18</v>
      </c>
      <c r="J90">
        <v>85</v>
      </c>
      <c r="K90">
        <v>7</v>
      </c>
      <c r="L90" t="s">
        <v>35</v>
      </c>
      <c r="M90">
        <v>3.8012531329999999</v>
      </c>
      <c r="N90" t="s">
        <v>60</v>
      </c>
      <c r="O90" t="s">
        <v>28</v>
      </c>
      <c r="P90">
        <v>21</v>
      </c>
      <c r="Q90">
        <v>953</v>
      </c>
      <c r="R90">
        <v>11</v>
      </c>
      <c r="S90">
        <v>68.184919059999999</v>
      </c>
      <c r="T90" t="s">
        <v>29</v>
      </c>
      <c r="U90">
        <v>0.72220440200000002</v>
      </c>
      <c r="V90" t="s">
        <v>55</v>
      </c>
      <c r="W90" t="s">
        <v>47</v>
      </c>
      <c r="X90">
        <v>103.916248</v>
      </c>
    </row>
    <row r="91" spans="1:24" x14ac:dyDescent="0.25">
      <c r="A91" t="s">
        <v>56</v>
      </c>
      <c r="B91" t="s">
        <v>142</v>
      </c>
      <c r="C91">
        <v>97.760085579999995</v>
      </c>
      <c r="D91">
        <v>10</v>
      </c>
      <c r="E91">
        <v>134</v>
      </c>
      <c r="F91">
        <v>5924.6825669999998</v>
      </c>
      <c r="G91" t="s">
        <v>37</v>
      </c>
      <c r="H91">
        <v>90</v>
      </c>
      <c r="I91">
        <v>1</v>
      </c>
      <c r="J91">
        <v>27</v>
      </c>
      <c r="K91">
        <v>8</v>
      </c>
      <c r="L91" t="s">
        <v>26</v>
      </c>
      <c r="M91">
        <v>9.9298162449999996</v>
      </c>
      <c r="N91" t="s">
        <v>38</v>
      </c>
      <c r="O91" t="s">
        <v>44</v>
      </c>
      <c r="P91">
        <v>23</v>
      </c>
      <c r="Q91">
        <v>370</v>
      </c>
      <c r="R91">
        <v>11</v>
      </c>
      <c r="S91">
        <v>46.603873380000003</v>
      </c>
      <c r="T91" t="s">
        <v>29</v>
      </c>
      <c r="U91">
        <v>1.9076657340000001</v>
      </c>
      <c r="V91" t="s">
        <v>46</v>
      </c>
      <c r="W91" t="s">
        <v>31</v>
      </c>
      <c r="X91">
        <v>517.49997389999999</v>
      </c>
    </row>
    <row r="92" spans="1:24" x14ac:dyDescent="0.25">
      <c r="A92" t="s">
        <v>32</v>
      </c>
      <c r="B92" t="s">
        <v>143</v>
      </c>
      <c r="C92">
        <v>13.8819135</v>
      </c>
      <c r="D92">
        <v>56</v>
      </c>
      <c r="E92">
        <v>320</v>
      </c>
      <c r="F92">
        <v>9592.63357</v>
      </c>
      <c r="G92" t="s">
        <v>25</v>
      </c>
      <c r="H92">
        <v>66</v>
      </c>
      <c r="I92">
        <v>18</v>
      </c>
      <c r="J92">
        <v>96</v>
      </c>
      <c r="K92">
        <v>7</v>
      </c>
      <c r="L92" t="s">
        <v>26</v>
      </c>
      <c r="M92">
        <v>7.674430708</v>
      </c>
      <c r="N92" t="s">
        <v>27</v>
      </c>
      <c r="O92" t="s">
        <v>52</v>
      </c>
      <c r="P92">
        <v>8</v>
      </c>
      <c r="Q92">
        <v>585</v>
      </c>
      <c r="R92">
        <v>8</v>
      </c>
      <c r="S92">
        <v>85.675963339999996</v>
      </c>
      <c r="T92" t="s">
        <v>63</v>
      </c>
      <c r="U92">
        <v>1.2193822240000001</v>
      </c>
      <c r="V92" t="s">
        <v>46</v>
      </c>
      <c r="W92" t="s">
        <v>31</v>
      </c>
      <c r="X92">
        <v>990.07847249999998</v>
      </c>
    </row>
    <row r="93" spans="1:24" x14ac:dyDescent="0.25">
      <c r="A93" t="s">
        <v>56</v>
      </c>
      <c r="B93" t="s">
        <v>144</v>
      </c>
      <c r="C93">
        <v>62.11196546</v>
      </c>
      <c r="D93">
        <v>90</v>
      </c>
      <c r="E93">
        <v>916</v>
      </c>
      <c r="F93">
        <v>1935.2067939999999</v>
      </c>
      <c r="G93" t="s">
        <v>54</v>
      </c>
      <c r="H93">
        <v>98</v>
      </c>
      <c r="I93">
        <v>22</v>
      </c>
      <c r="J93">
        <v>85</v>
      </c>
      <c r="K93">
        <v>7</v>
      </c>
      <c r="L93" t="s">
        <v>26</v>
      </c>
      <c r="M93">
        <v>7.4715140839999998</v>
      </c>
      <c r="N93" t="s">
        <v>51</v>
      </c>
      <c r="O93" t="s">
        <v>49</v>
      </c>
      <c r="P93">
        <v>5</v>
      </c>
      <c r="Q93">
        <v>207</v>
      </c>
      <c r="R93">
        <v>28</v>
      </c>
      <c r="S93">
        <v>39.772882500000001</v>
      </c>
      <c r="T93" t="s">
        <v>29</v>
      </c>
      <c r="U93">
        <v>0.62600185799999997</v>
      </c>
      <c r="V93" t="s">
        <v>46</v>
      </c>
      <c r="W93" t="s">
        <v>31</v>
      </c>
      <c r="X93">
        <v>996.77831500000002</v>
      </c>
    </row>
    <row r="94" spans="1:24" x14ac:dyDescent="0.25">
      <c r="A94" t="s">
        <v>56</v>
      </c>
      <c r="B94" t="s">
        <v>145</v>
      </c>
      <c r="C94">
        <v>47.71423308</v>
      </c>
      <c r="D94">
        <v>44</v>
      </c>
      <c r="E94">
        <v>276</v>
      </c>
      <c r="F94">
        <v>2100.1297549999999</v>
      </c>
      <c r="G94" t="s">
        <v>54</v>
      </c>
      <c r="H94">
        <v>90</v>
      </c>
      <c r="I94">
        <v>25</v>
      </c>
      <c r="J94">
        <v>10</v>
      </c>
      <c r="K94">
        <v>8</v>
      </c>
      <c r="L94" t="s">
        <v>26</v>
      </c>
      <c r="M94">
        <v>4.4695000260000004</v>
      </c>
      <c r="N94" t="s">
        <v>60</v>
      </c>
      <c r="O94" t="s">
        <v>28</v>
      </c>
      <c r="P94">
        <v>4</v>
      </c>
      <c r="Q94">
        <v>671</v>
      </c>
      <c r="R94">
        <v>29</v>
      </c>
      <c r="S94">
        <v>62.612690399999998</v>
      </c>
      <c r="T94" t="s">
        <v>63</v>
      </c>
      <c r="U94">
        <v>0.33343182500000002</v>
      </c>
      <c r="V94" t="s">
        <v>46</v>
      </c>
      <c r="W94" t="s">
        <v>31</v>
      </c>
      <c r="X94">
        <v>230.0927825</v>
      </c>
    </row>
    <row r="95" spans="1:24" x14ac:dyDescent="0.25">
      <c r="A95" t="s">
        <v>23</v>
      </c>
      <c r="B95" t="s">
        <v>146</v>
      </c>
      <c r="C95">
        <v>69.290830999999997</v>
      </c>
      <c r="D95">
        <v>88</v>
      </c>
      <c r="E95">
        <v>114</v>
      </c>
      <c r="F95">
        <v>4531.4021339999999</v>
      </c>
      <c r="G95" t="s">
        <v>37</v>
      </c>
      <c r="H95">
        <v>63</v>
      </c>
      <c r="I95">
        <v>17</v>
      </c>
      <c r="J95">
        <v>66</v>
      </c>
      <c r="K95">
        <v>1</v>
      </c>
      <c r="L95" t="s">
        <v>42</v>
      </c>
      <c r="M95">
        <v>7.0064320589999998</v>
      </c>
      <c r="N95" t="s">
        <v>51</v>
      </c>
      <c r="O95" t="s">
        <v>61</v>
      </c>
      <c r="P95">
        <v>21</v>
      </c>
      <c r="Q95">
        <v>824</v>
      </c>
      <c r="R95">
        <v>20</v>
      </c>
      <c r="S95">
        <v>35.633652339999998</v>
      </c>
      <c r="T95" t="s">
        <v>45</v>
      </c>
      <c r="U95">
        <v>4.165781795</v>
      </c>
      <c r="V95" t="s">
        <v>39</v>
      </c>
      <c r="W95" t="s">
        <v>47</v>
      </c>
      <c r="X95">
        <v>823.52384589999997</v>
      </c>
    </row>
    <row r="96" spans="1:24" x14ac:dyDescent="0.25">
      <c r="A96" t="s">
        <v>56</v>
      </c>
      <c r="B96" t="s">
        <v>147</v>
      </c>
      <c r="C96">
        <v>3.0376887250000002</v>
      </c>
      <c r="D96">
        <v>97</v>
      </c>
      <c r="E96">
        <v>987</v>
      </c>
      <c r="F96">
        <v>7888.3565470000003</v>
      </c>
      <c r="G96" t="s">
        <v>37</v>
      </c>
      <c r="H96">
        <v>77</v>
      </c>
      <c r="I96">
        <v>26</v>
      </c>
      <c r="J96">
        <v>72</v>
      </c>
      <c r="K96">
        <v>9</v>
      </c>
      <c r="L96" t="s">
        <v>26</v>
      </c>
      <c r="M96">
        <v>6.9429459419999997</v>
      </c>
      <c r="N96" t="s">
        <v>60</v>
      </c>
      <c r="O96" t="s">
        <v>49</v>
      </c>
      <c r="P96">
        <v>12</v>
      </c>
      <c r="Q96">
        <v>908</v>
      </c>
      <c r="R96">
        <v>14</v>
      </c>
      <c r="S96">
        <v>60.387378609999999</v>
      </c>
      <c r="T96" t="s">
        <v>63</v>
      </c>
      <c r="U96">
        <v>1.463607498</v>
      </c>
      <c r="V96" t="s">
        <v>46</v>
      </c>
      <c r="W96" t="s">
        <v>31</v>
      </c>
      <c r="X96">
        <v>846.665257</v>
      </c>
    </row>
    <row r="97" spans="1:24" x14ac:dyDescent="0.25">
      <c r="A97" t="s">
        <v>23</v>
      </c>
      <c r="B97" t="s">
        <v>148</v>
      </c>
      <c r="C97">
        <v>77.90392722</v>
      </c>
      <c r="D97">
        <v>65</v>
      </c>
      <c r="E97">
        <v>672</v>
      </c>
      <c r="F97">
        <v>7386.3639439999997</v>
      </c>
      <c r="G97" t="s">
        <v>37</v>
      </c>
      <c r="H97">
        <v>15</v>
      </c>
      <c r="I97">
        <v>14</v>
      </c>
      <c r="J97">
        <v>26</v>
      </c>
      <c r="K97">
        <v>9</v>
      </c>
      <c r="L97" t="s">
        <v>26</v>
      </c>
      <c r="M97">
        <v>8.6303388699999992</v>
      </c>
      <c r="N97" t="s">
        <v>51</v>
      </c>
      <c r="O97" t="s">
        <v>28</v>
      </c>
      <c r="P97">
        <v>18</v>
      </c>
      <c r="Q97">
        <v>450</v>
      </c>
      <c r="R97">
        <v>26</v>
      </c>
      <c r="S97">
        <v>58.890685769999997</v>
      </c>
      <c r="T97" t="s">
        <v>29</v>
      </c>
      <c r="U97">
        <v>1.2108821299999999</v>
      </c>
      <c r="V97" t="s">
        <v>39</v>
      </c>
      <c r="W97" t="s">
        <v>47</v>
      </c>
      <c r="X97">
        <v>778.86424139999997</v>
      </c>
    </row>
    <row r="98" spans="1:24" x14ac:dyDescent="0.25">
      <c r="A98" t="s">
        <v>56</v>
      </c>
      <c r="B98" t="s">
        <v>149</v>
      </c>
      <c r="C98">
        <v>24.423131420000001</v>
      </c>
      <c r="D98">
        <v>29</v>
      </c>
      <c r="E98">
        <v>324</v>
      </c>
      <c r="F98">
        <v>7698.4247660000001</v>
      </c>
      <c r="G98" t="s">
        <v>25</v>
      </c>
      <c r="H98">
        <v>67</v>
      </c>
      <c r="I98">
        <v>2</v>
      </c>
      <c r="J98">
        <v>32</v>
      </c>
      <c r="K98">
        <v>3</v>
      </c>
      <c r="L98" t="s">
        <v>42</v>
      </c>
      <c r="M98">
        <v>5.3528780439999997</v>
      </c>
      <c r="N98" t="s">
        <v>27</v>
      </c>
      <c r="O98" t="s">
        <v>28</v>
      </c>
      <c r="P98">
        <v>28</v>
      </c>
      <c r="Q98">
        <v>648</v>
      </c>
      <c r="R98">
        <v>28</v>
      </c>
      <c r="S98">
        <v>17.803756329999999</v>
      </c>
      <c r="T98" t="s">
        <v>29</v>
      </c>
      <c r="U98">
        <v>3.8720476810000002</v>
      </c>
      <c r="V98" t="s">
        <v>30</v>
      </c>
      <c r="W98" t="s">
        <v>47</v>
      </c>
      <c r="X98">
        <v>188.7421411</v>
      </c>
    </row>
    <row r="99" spans="1:24" x14ac:dyDescent="0.25">
      <c r="A99" t="s">
        <v>23</v>
      </c>
      <c r="B99" t="s">
        <v>150</v>
      </c>
      <c r="C99">
        <v>3.5261112589999999</v>
      </c>
      <c r="D99">
        <v>56</v>
      </c>
      <c r="E99">
        <v>62</v>
      </c>
      <c r="F99">
        <v>4370.9165800000001</v>
      </c>
      <c r="G99" t="s">
        <v>54</v>
      </c>
      <c r="H99">
        <v>46</v>
      </c>
      <c r="I99">
        <v>19</v>
      </c>
      <c r="J99">
        <v>4</v>
      </c>
      <c r="K99">
        <v>9</v>
      </c>
      <c r="L99" t="s">
        <v>35</v>
      </c>
      <c r="M99">
        <v>7.9048456109999998</v>
      </c>
      <c r="N99" t="s">
        <v>51</v>
      </c>
      <c r="O99" t="s">
        <v>28</v>
      </c>
      <c r="P99">
        <v>10</v>
      </c>
      <c r="Q99">
        <v>535</v>
      </c>
      <c r="R99">
        <v>13</v>
      </c>
      <c r="S99">
        <v>65.765155930000006</v>
      </c>
      <c r="T99" t="s">
        <v>45</v>
      </c>
      <c r="U99">
        <v>3.376237835</v>
      </c>
      <c r="V99" t="s">
        <v>30</v>
      </c>
      <c r="W99" t="s">
        <v>47</v>
      </c>
      <c r="X99">
        <v>540.13242290000005</v>
      </c>
    </row>
    <row r="100" spans="1:24" x14ac:dyDescent="0.25">
      <c r="A100" t="s">
        <v>32</v>
      </c>
      <c r="B100" t="s">
        <v>151</v>
      </c>
      <c r="C100">
        <v>19.754604870000001</v>
      </c>
      <c r="D100">
        <v>43</v>
      </c>
      <c r="E100">
        <v>913</v>
      </c>
      <c r="F100">
        <v>8525.9525599999997</v>
      </c>
      <c r="G100" t="s">
        <v>34</v>
      </c>
      <c r="H100">
        <v>53</v>
      </c>
      <c r="I100">
        <v>1</v>
      </c>
      <c r="J100">
        <v>27</v>
      </c>
      <c r="K100">
        <v>7</v>
      </c>
      <c r="L100" t="s">
        <v>26</v>
      </c>
      <c r="M100">
        <v>1.4098010949999999</v>
      </c>
      <c r="N100" t="s">
        <v>43</v>
      </c>
      <c r="O100" t="s">
        <v>61</v>
      </c>
      <c r="P100">
        <v>28</v>
      </c>
      <c r="Q100">
        <v>581</v>
      </c>
      <c r="R100">
        <v>9</v>
      </c>
      <c r="S100">
        <v>5.6046908640000002</v>
      </c>
      <c r="T100" t="s">
        <v>29</v>
      </c>
      <c r="U100">
        <v>2.9081221689999999</v>
      </c>
      <c r="V100" t="s">
        <v>46</v>
      </c>
      <c r="W100" t="s">
        <v>47</v>
      </c>
      <c r="X100">
        <v>882.19886350000002</v>
      </c>
    </row>
    <row r="101" spans="1:24" x14ac:dyDescent="0.25">
      <c r="A101" t="s">
        <v>23</v>
      </c>
      <c r="B101" t="s">
        <v>152</v>
      </c>
      <c r="C101">
        <v>68.5178327</v>
      </c>
      <c r="D101">
        <v>17</v>
      </c>
      <c r="E101">
        <v>627</v>
      </c>
      <c r="F101">
        <v>9185.185829</v>
      </c>
      <c r="G101" t="s">
        <v>37</v>
      </c>
      <c r="H101">
        <v>55</v>
      </c>
      <c r="I101">
        <v>8</v>
      </c>
      <c r="J101">
        <v>59</v>
      </c>
      <c r="K101">
        <v>6</v>
      </c>
      <c r="L101" t="s">
        <v>26</v>
      </c>
      <c r="M101">
        <v>1.311023756</v>
      </c>
      <c r="N101" t="s">
        <v>60</v>
      </c>
      <c r="O101" t="s">
        <v>61</v>
      </c>
      <c r="P101">
        <v>29</v>
      </c>
      <c r="Q101">
        <v>921</v>
      </c>
      <c r="R101">
        <v>2</v>
      </c>
      <c r="S101">
        <v>38.072898520000003</v>
      </c>
      <c r="T101" t="s">
        <v>45</v>
      </c>
      <c r="U101">
        <v>0.34602729100000001</v>
      </c>
      <c r="V101" t="s">
        <v>46</v>
      </c>
      <c r="W101" t="s">
        <v>31</v>
      </c>
      <c r="X101">
        <v>210.743009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C59D8-4DD4-4657-AD25-2FC0E14D2F27}">
  <dimension ref="A3:B179"/>
  <sheetViews>
    <sheetView zoomScaleNormal="100" workbookViewId="0"/>
  </sheetViews>
  <sheetFormatPr baseColWidth="10" defaultRowHeight="15" x14ac:dyDescent="0.25"/>
  <cols>
    <col min="1" max="1" width="71.42578125" customWidth="1"/>
    <col min="2" max="2" width="37.42578125" bestFit="1" customWidth="1"/>
    <col min="3" max="3" width="26.42578125" bestFit="1" customWidth="1"/>
  </cols>
  <sheetData>
    <row r="3" spans="1:2" x14ac:dyDescent="0.25">
      <c r="A3" s="1" t="s">
        <v>153</v>
      </c>
      <c r="B3" t="s">
        <v>155</v>
      </c>
    </row>
    <row r="4" spans="1:2" x14ac:dyDescent="0.25">
      <c r="A4" s="2" t="s">
        <v>34</v>
      </c>
      <c r="B4">
        <v>12801</v>
      </c>
    </row>
    <row r="5" spans="1:2" x14ac:dyDescent="0.25">
      <c r="A5" s="3" t="s">
        <v>56</v>
      </c>
      <c r="B5">
        <v>4012</v>
      </c>
    </row>
    <row r="6" spans="1:2" x14ac:dyDescent="0.25">
      <c r="A6" s="3" t="s">
        <v>23</v>
      </c>
      <c r="B6">
        <v>936</v>
      </c>
    </row>
    <row r="7" spans="1:2" x14ac:dyDescent="0.25">
      <c r="A7" s="3" t="s">
        <v>32</v>
      </c>
      <c r="B7">
        <v>7853</v>
      </c>
    </row>
    <row r="8" spans="1:2" x14ac:dyDescent="0.25">
      <c r="A8" s="2" t="s">
        <v>54</v>
      </c>
      <c r="B8">
        <v>7507</v>
      </c>
    </row>
    <row r="9" spans="1:2" x14ac:dyDescent="0.25">
      <c r="A9" s="3" t="s">
        <v>56</v>
      </c>
      <c r="B9">
        <v>2304</v>
      </c>
    </row>
    <row r="10" spans="1:2" x14ac:dyDescent="0.25">
      <c r="A10" s="3" t="s">
        <v>23</v>
      </c>
      <c r="B10">
        <v>2292</v>
      </c>
    </row>
    <row r="11" spans="1:2" x14ac:dyDescent="0.25">
      <c r="A11" s="3" t="s">
        <v>32</v>
      </c>
      <c r="B11">
        <v>2911</v>
      </c>
    </row>
    <row r="12" spans="1:2" x14ac:dyDescent="0.25">
      <c r="A12" s="2" t="s">
        <v>25</v>
      </c>
      <c r="B12">
        <v>10580</v>
      </c>
    </row>
    <row r="13" spans="1:2" x14ac:dyDescent="0.25">
      <c r="A13" s="3" t="s">
        <v>56</v>
      </c>
      <c r="B13">
        <v>2607</v>
      </c>
    </row>
    <row r="14" spans="1:2" x14ac:dyDescent="0.25">
      <c r="A14" s="3" t="s">
        <v>23</v>
      </c>
      <c r="B14">
        <v>2820</v>
      </c>
    </row>
    <row r="15" spans="1:2" x14ac:dyDescent="0.25">
      <c r="A15" s="3" t="s">
        <v>32</v>
      </c>
      <c r="B15">
        <v>5153</v>
      </c>
    </row>
    <row r="16" spans="1:2" x14ac:dyDescent="0.25">
      <c r="A16" s="2" t="s">
        <v>37</v>
      </c>
      <c r="B16">
        <v>15211</v>
      </c>
    </row>
    <row r="17" spans="1:2" x14ac:dyDescent="0.25">
      <c r="A17" s="3" t="s">
        <v>56</v>
      </c>
      <c r="B17">
        <v>2834</v>
      </c>
    </row>
    <row r="18" spans="1:2" x14ac:dyDescent="0.25">
      <c r="A18" s="3" t="s">
        <v>23</v>
      </c>
      <c r="B18">
        <v>7563</v>
      </c>
    </row>
    <row r="19" spans="1:2" x14ac:dyDescent="0.25">
      <c r="A19" s="3" t="s">
        <v>32</v>
      </c>
      <c r="B19">
        <v>4814</v>
      </c>
    </row>
    <row r="20" spans="1:2" x14ac:dyDescent="0.25">
      <c r="A20" s="2" t="s">
        <v>154</v>
      </c>
      <c r="B20">
        <v>46099</v>
      </c>
    </row>
    <row r="22" spans="1:2" x14ac:dyDescent="0.25">
      <c r="A22" s="3"/>
    </row>
    <row r="23" spans="1:2" x14ac:dyDescent="0.25">
      <c r="A23" s="3" t="s">
        <v>188</v>
      </c>
    </row>
    <row r="24" spans="1:2" x14ac:dyDescent="0.25">
      <c r="A24" s="3" t="s">
        <v>189</v>
      </c>
    </row>
    <row r="25" spans="1:2" x14ac:dyDescent="0.25">
      <c r="A25" t="s">
        <v>192</v>
      </c>
    </row>
    <row r="26" spans="1:2" x14ac:dyDescent="0.25">
      <c r="A26" t="s">
        <v>190</v>
      </c>
    </row>
    <row r="27" spans="1:2" x14ac:dyDescent="0.25">
      <c r="A27" s="3" t="s">
        <v>191</v>
      </c>
    </row>
    <row r="28" spans="1:2" x14ac:dyDescent="0.25">
      <c r="A28" s="3" t="s">
        <v>193</v>
      </c>
    </row>
    <row r="30" spans="1:2" x14ac:dyDescent="0.25">
      <c r="A30" t="s">
        <v>194</v>
      </c>
    </row>
    <row r="31" spans="1:2" x14ac:dyDescent="0.25">
      <c r="A31" t="s">
        <v>195</v>
      </c>
    </row>
    <row r="32" spans="1:2" x14ac:dyDescent="0.25">
      <c r="A32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8" spans="1:1" x14ac:dyDescent="0.25">
      <c r="A38" t="s">
        <v>200</v>
      </c>
    </row>
    <row r="39" spans="1:1" x14ac:dyDescent="0.25">
      <c r="A39" t="s">
        <v>201</v>
      </c>
    </row>
    <row r="40" spans="1:1" x14ac:dyDescent="0.25">
      <c r="A40" s="3" t="s">
        <v>202</v>
      </c>
    </row>
    <row r="41" spans="1:1" x14ac:dyDescent="0.25">
      <c r="A41" s="3" t="s">
        <v>203</v>
      </c>
    </row>
    <row r="43" spans="1:1" x14ac:dyDescent="0.25">
      <c r="A43" t="s">
        <v>204</v>
      </c>
    </row>
    <row r="44" spans="1:1" x14ac:dyDescent="0.25">
      <c r="A44" t="s">
        <v>206</v>
      </c>
    </row>
    <row r="45" spans="1:1" x14ac:dyDescent="0.25">
      <c r="A45" t="s">
        <v>205</v>
      </c>
    </row>
    <row r="46" spans="1:1" x14ac:dyDescent="0.25">
      <c r="A46" s="3" t="s">
        <v>207</v>
      </c>
    </row>
    <row r="47" spans="1:1" x14ac:dyDescent="0.25">
      <c r="A47" t="s">
        <v>208</v>
      </c>
    </row>
    <row r="48" spans="1:1" x14ac:dyDescent="0.25">
      <c r="A48" t="s">
        <v>209</v>
      </c>
    </row>
    <row r="50" spans="1:1" x14ac:dyDescent="0.25">
      <c r="A50" t="s">
        <v>166</v>
      </c>
    </row>
    <row r="51" spans="1:1" x14ac:dyDescent="0.25">
      <c r="A51" t="s">
        <v>211</v>
      </c>
    </row>
    <row r="52" spans="1:1" x14ac:dyDescent="0.25">
      <c r="A52" t="s">
        <v>213</v>
      </c>
    </row>
    <row r="53" spans="1:1" x14ac:dyDescent="0.25">
      <c r="A53" t="s">
        <v>210</v>
      </c>
    </row>
    <row r="54" spans="1:1" x14ac:dyDescent="0.25">
      <c r="A54" t="s">
        <v>212</v>
      </c>
    </row>
    <row r="56" spans="1:1" x14ac:dyDescent="0.25">
      <c r="A56" t="s">
        <v>214</v>
      </c>
    </row>
    <row r="57" spans="1:1" x14ac:dyDescent="0.25">
      <c r="A57" t="s">
        <v>215</v>
      </c>
    </row>
    <row r="58" spans="1:1" x14ac:dyDescent="0.25">
      <c r="A58" t="s">
        <v>216</v>
      </c>
    </row>
    <row r="179" spans="1:1" x14ac:dyDescent="0.25">
      <c r="A179" s="3"/>
    </row>
  </sheetData>
  <pageMargins left="0.7" right="0.7" top="0.78740157499999996" bottom="0.78740157499999996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E0ADE-4D46-41CD-A9CF-30D086419121}">
  <dimension ref="A3:C183"/>
  <sheetViews>
    <sheetView workbookViewId="0"/>
  </sheetViews>
  <sheetFormatPr baseColWidth="10" defaultRowHeight="15" x14ac:dyDescent="0.25"/>
  <cols>
    <col min="1" max="1" width="63.85546875" customWidth="1"/>
    <col min="2" max="2" width="57.28515625" bestFit="1" customWidth="1"/>
    <col min="3" max="3" width="31.140625" bestFit="1" customWidth="1"/>
    <col min="4" max="4" width="26.42578125" bestFit="1" customWidth="1"/>
  </cols>
  <sheetData>
    <row r="3" spans="1:3" x14ac:dyDescent="0.25">
      <c r="A3" s="1" t="s">
        <v>153</v>
      </c>
      <c r="B3" s="5" t="s">
        <v>157</v>
      </c>
      <c r="C3" t="s">
        <v>156</v>
      </c>
    </row>
    <row r="4" spans="1:3" x14ac:dyDescent="0.25">
      <c r="A4" s="2" t="s">
        <v>56</v>
      </c>
      <c r="B4" s="4">
        <v>0.25503807024013536</v>
      </c>
      <c r="C4" s="4">
        <v>0.26</v>
      </c>
    </row>
    <row r="5" spans="1:3" x14ac:dyDescent="0.25">
      <c r="A5" s="2" t="s">
        <v>23</v>
      </c>
      <c r="B5" s="4">
        <v>0.29525586238313195</v>
      </c>
      <c r="C5" s="4">
        <v>0.34</v>
      </c>
    </row>
    <row r="6" spans="1:3" x14ac:dyDescent="0.25">
      <c r="A6" s="2" t="s">
        <v>32</v>
      </c>
      <c r="B6" s="4">
        <v>0.44970606737673269</v>
      </c>
      <c r="C6" s="4">
        <v>0.4</v>
      </c>
    </row>
    <row r="7" spans="1:3" x14ac:dyDescent="0.25">
      <c r="A7" s="2" t="s">
        <v>154</v>
      </c>
      <c r="B7" s="4">
        <v>1</v>
      </c>
      <c r="C7" s="4">
        <v>1</v>
      </c>
    </row>
    <row r="9" spans="1:3" x14ac:dyDescent="0.25">
      <c r="A9" s="2" t="s">
        <v>217</v>
      </c>
    </row>
    <row r="10" spans="1:3" x14ac:dyDescent="0.25">
      <c r="A10" s="2"/>
    </row>
    <row r="11" spans="1:3" x14ac:dyDescent="0.25">
      <c r="A11" s="2" t="s">
        <v>220</v>
      </c>
    </row>
    <row r="12" spans="1:3" x14ac:dyDescent="0.25">
      <c r="A12" s="2" t="s">
        <v>218</v>
      </c>
    </row>
    <row r="13" spans="1:3" x14ac:dyDescent="0.25">
      <c r="A13" s="2" t="s">
        <v>219</v>
      </c>
    </row>
    <row r="14" spans="1:3" x14ac:dyDescent="0.25">
      <c r="A14" s="2"/>
    </row>
    <row r="15" spans="1:3" x14ac:dyDescent="0.25">
      <c r="A15" s="2" t="s">
        <v>221</v>
      </c>
    </row>
    <row r="16" spans="1:3" x14ac:dyDescent="0.25">
      <c r="A16" s="2" t="s">
        <v>225</v>
      </c>
    </row>
    <row r="17" spans="1:1" x14ac:dyDescent="0.25">
      <c r="A17" s="2" t="s">
        <v>224</v>
      </c>
    </row>
    <row r="18" spans="1:1" x14ac:dyDescent="0.25">
      <c r="A18" s="2"/>
    </row>
    <row r="19" spans="1:1" x14ac:dyDescent="0.25">
      <c r="A19" s="2" t="s">
        <v>222</v>
      </c>
    </row>
    <row r="20" spans="1:1" x14ac:dyDescent="0.25">
      <c r="A20" s="2" t="s">
        <v>223</v>
      </c>
    </row>
    <row r="21" spans="1:1" x14ac:dyDescent="0.25">
      <c r="A21" s="2" t="s">
        <v>226</v>
      </c>
    </row>
    <row r="22" spans="1:1" x14ac:dyDescent="0.25">
      <c r="A22" s="2"/>
    </row>
    <row r="23" spans="1:1" x14ac:dyDescent="0.25">
      <c r="A23" s="2" t="s">
        <v>204</v>
      </c>
    </row>
    <row r="24" spans="1:1" x14ac:dyDescent="0.25">
      <c r="A24" s="2" t="s">
        <v>227</v>
      </c>
    </row>
    <row r="25" spans="1:1" x14ac:dyDescent="0.25">
      <c r="A25" s="2" t="s">
        <v>228</v>
      </c>
    </row>
    <row r="26" spans="1:1" x14ac:dyDescent="0.25">
      <c r="A26" s="2" t="s">
        <v>229</v>
      </c>
    </row>
    <row r="28" spans="1:1" x14ac:dyDescent="0.25">
      <c r="A28" s="2" t="s">
        <v>166</v>
      </c>
    </row>
    <row r="29" spans="1:1" x14ac:dyDescent="0.25">
      <c r="A29" t="s">
        <v>232</v>
      </c>
    </row>
    <row r="30" spans="1:1" x14ac:dyDescent="0.25">
      <c r="A30" t="s">
        <v>230</v>
      </c>
    </row>
    <row r="31" spans="1:1" x14ac:dyDescent="0.25">
      <c r="A31" t="s">
        <v>233</v>
      </c>
    </row>
    <row r="32" spans="1:1" x14ac:dyDescent="0.25">
      <c r="A32" t="s">
        <v>231</v>
      </c>
    </row>
    <row r="34" spans="1:1" x14ac:dyDescent="0.25">
      <c r="A34" t="s">
        <v>214</v>
      </c>
    </row>
    <row r="35" spans="1:1" x14ac:dyDescent="0.25">
      <c r="A35" t="s">
        <v>234</v>
      </c>
    </row>
    <row r="168" spans="1:1" x14ac:dyDescent="0.25">
      <c r="A168" s="2" t="s">
        <v>167</v>
      </c>
    </row>
    <row r="169" spans="1:1" x14ac:dyDescent="0.25">
      <c r="A169" s="2" t="s">
        <v>168</v>
      </c>
    </row>
    <row r="170" spans="1:1" x14ac:dyDescent="0.25">
      <c r="A170" s="2" t="s">
        <v>169</v>
      </c>
    </row>
    <row r="171" spans="1:1" x14ac:dyDescent="0.25">
      <c r="A171" s="2" t="s">
        <v>170</v>
      </c>
    </row>
    <row r="173" spans="1:1" x14ac:dyDescent="0.25">
      <c r="A173" s="2" t="s">
        <v>171</v>
      </c>
    </row>
    <row r="174" spans="1:1" x14ac:dyDescent="0.25">
      <c r="A174" s="2" t="s">
        <v>172</v>
      </c>
    </row>
    <row r="175" spans="1:1" x14ac:dyDescent="0.25">
      <c r="A175" s="2" t="s">
        <v>173</v>
      </c>
    </row>
    <row r="176" spans="1:1" x14ac:dyDescent="0.25">
      <c r="A176" s="2" t="s">
        <v>174</v>
      </c>
    </row>
    <row r="177" spans="1:1" x14ac:dyDescent="0.25">
      <c r="A177" s="2" t="s">
        <v>175</v>
      </c>
    </row>
    <row r="179" spans="1:1" x14ac:dyDescent="0.25">
      <c r="A179" s="2" t="s">
        <v>166</v>
      </c>
    </row>
    <row r="180" spans="1:1" x14ac:dyDescent="0.25">
      <c r="A180" s="2" t="s">
        <v>176</v>
      </c>
    </row>
    <row r="181" spans="1:1" x14ac:dyDescent="0.25">
      <c r="A181" s="2" t="s">
        <v>177</v>
      </c>
    </row>
    <row r="182" spans="1:1" x14ac:dyDescent="0.25">
      <c r="A182" s="2" t="s">
        <v>178</v>
      </c>
    </row>
    <row r="183" spans="1:1" x14ac:dyDescent="0.25">
      <c r="A183" s="2" t="s">
        <v>179</v>
      </c>
    </row>
  </sheetData>
  <pageMargins left="0.7" right="0.7" top="0.78740157499999996" bottom="0.78740157499999996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9D996-C832-4854-BFB7-98126D1FD2B6}">
  <dimension ref="A3:B104"/>
  <sheetViews>
    <sheetView workbookViewId="0"/>
  </sheetViews>
  <sheetFormatPr baseColWidth="10" defaultRowHeight="15" x14ac:dyDescent="0.25"/>
  <cols>
    <col min="1" max="1" width="49.85546875" customWidth="1"/>
    <col min="2" max="2" width="26.42578125" bestFit="1" customWidth="1"/>
  </cols>
  <sheetData>
    <row r="3" spans="1:2" x14ac:dyDescent="0.25">
      <c r="A3" s="1" t="s">
        <v>153</v>
      </c>
      <c r="B3" t="s">
        <v>160</v>
      </c>
    </row>
    <row r="4" spans="1:2" x14ac:dyDescent="0.25">
      <c r="A4" s="2" t="s">
        <v>56</v>
      </c>
      <c r="B4" s="4">
        <v>0.27963974807783998</v>
      </c>
    </row>
    <row r="5" spans="1:2" x14ac:dyDescent="0.25">
      <c r="A5" s="2" t="s">
        <v>23</v>
      </c>
      <c r="B5" s="4">
        <v>0.30203243627115312</v>
      </c>
    </row>
    <row r="6" spans="1:2" x14ac:dyDescent="0.25">
      <c r="A6" s="2" t="s">
        <v>32</v>
      </c>
      <c r="B6" s="4">
        <v>0.41832781565100696</v>
      </c>
    </row>
    <row r="7" spans="1:2" x14ac:dyDescent="0.25">
      <c r="A7" s="2" t="s">
        <v>154</v>
      </c>
      <c r="B7" s="4">
        <v>1</v>
      </c>
    </row>
    <row r="9" spans="1:2" x14ac:dyDescent="0.25">
      <c r="A9" s="2" t="s">
        <v>235</v>
      </c>
    </row>
    <row r="11" spans="1:2" x14ac:dyDescent="0.25">
      <c r="A11" s="2" t="s">
        <v>236</v>
      </c>
    </row>
    <row r="12" spans="1:2" x14ac:dyDescent="0.25">
      <c r="A12" t="s">
        <v>237</v>
      </c>
    </row>
    <row r="13" spans="1:2" x14ac:dyDescent="0.25">
      <c r="A13" s="2" t="s">
        <v>238</v>
      </c>
    </row>
    <row r="14" spans="1:2" x14ac:dyDescent="0.25">
      <c r="A14" t="s">
        <v>204</v>
      </c>
    </row>
    <row r="15" spans="1:2" x14ac:dyDescent="0.25">
      <c r="A15" t="s">
        <v>239</v>
      </c>
    </row>
    <row r="16" spans="1:2" x14ac:dyDescent="0.25">
      <c r="A16" t="s">
        <v>240</v>
      </c>
    </row>
    <row r="17" spans="1:1" x14ac:dyDescent="0.25">
      <c r="A17" t="s">
        <v>241</v>
      </c>
    </row>
    <row r="19" spans="1:1" x14ac:dyDescent="0.25">
      <c r="A19" t="s">
        <v>166</v>
      </c>
    </row>
    <row r="20" spans="1:1" x14ac:dyDescent="0.25">
      <c r="A20" t="s">
        <v>242</v>
      </c>
    </row>
    <row r="21" spans="1:1" x14ac:dyDescent="0.25">
      <c r="A21" t="s">
        <v>243</v>
      </c>
    </row>
    <row r="22" spans="1:1" x14ac:dyDescent="0.25">
      <c r="A22" t="s">
        <v>244</v>
      </c>
    </row>
    <row r="101" spans="1:1" x14ac:dyDescent="0.25">
      <c r="A101" t="s">
        <v>167</v>
      </c>
    </row>
    <row r="102" spans="1:1" x14ac:dyDescent="0.25">
      <c r="A102" t="s">
        <v>180</v>
      </c>
    </row>
    <row r="103" spans="1:1" x14ac:dyDescent="0.25">
      <c r="A103" t="s">
        <v>181</v>
      </c>
    </row>
    <row r="104" spans="1:1" x14ac:dyDescent="0.25">
      <c r="A104" t="s">
        <v>182</v>
      </c>
    </row>
  </sheetData>
  <pageMargins left="0.7" right="0.7" top="0.78740157499999996" bottom="0.78740157499999996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053EF-48F0-41A9-A6FE-AB5243519447}">
  <dimension ref="A3:C31"/>
  <sheetViews>
    <sheetView workbookViewId="0"/>
  </sheetViews>
  <sheetFormatPr baseColWidth="10" defaultRowHeight="15" x14ac:dyDescent="0.25"/>
  <cols>
    <col min="1" max="1" width="22.7109375" bestFit="1" customWidth="1"/>
    <col min="2" max="2" width="27.28515625" bestFit="1" customWidth="1"/>
    <col min="3" max="3" width="28.28515625" bestFit="1" customWidth="1"/>
  </cols>
  <sheetData>
    <row r="3" spans="1:3" x14ac:dyDescent="0.25">
      <c r="A3" s="1" t="s">
        <v>153</v>
      </c>
      <c r="B3" t="s">
        <v>158</v>
      </c>
      <c r="C3" t="s">
        <v>164</v>
      </c>
    </row>
    <row r="4" spans="1:3" x14ac:dyDescent="0.25">
      <c r="A4" s="2" t="s">
        <v>35</v>
      </c>
      <c r="B4" s="5">
        <v>6.1428571428571432</v>
      </c>
      <c r="C4" s="5">
        <v>5.5549225217142864</v>
      </c>
    </row>
    <row r="5" spans="1:3" x14ac:dyDescent="0.25">
      <c r="A5" s="2" t="s">
        <v>26</v>
      </c>
      <c r="B5" s="5">
        <v>5.3023255813953485</v>
      </c>
      <c r="C5" s="5">
        <v>5.5092469688604657</v>
      </c>
    </row>
    <row r="6" spans="1:3" x14ac:dyDescent="0.25">
      <c r="A6" s="2" t="s">
        <v>42</v>
      </c>
      <c r="B6" s="5">
        <v>6.0344827586206895</v>
      </c>
      <c r="C6" s="5">
        <v>5.5992916183103425</v>
      </c>
    </row>
    <row r="7" spans="1:3" x14ac:dyDescent="0.25">
      <c r="A7" s="2" t="s">
        <v>154</v>
      </c>
      <c r="B7" s="5">
        <v>5.75</v>
      </c>
      <c r="C7" s="5">
        <v>5.5481490719999984</v>
      </c>
    </row>
    <row r="10" spans="1:3" x14ac:dyDescent="0.25">
      <c r="A10" s="2" t="s">
        <v>245</v>
      </c>
    </row>
    <row r="12" spans="1:3" x14ac:dyDescent="0.25">
      <c r="A12" t="s">
        <v>246</v>
      </c>
    </row>
    <row r="13" spans="1:3" x14ac:dyDescent="0.25">
      <c r="A13" t="s">
        <v>249</v>
      </c>
    </row>
    <row r="14" spans="1:3" x14ac:dyDescent="0.25">
      <c r="A14" t="s">
        <v>250</v>
      </c>
    </row>
    <row r="16" spans="1:3" x14ac:dyDescent="0.25">
      <c r="A16" t="s">
        <v>248</v>
      </c>
    </row>
    <row r="17" spans="1:1" x14ac:dyDescent="0.25">
      <c r="A17" t="s">
        <v>251</v>
      </c>
    </row>
    <row r="18" spans="1:1" x14ac:dyDescent="0.25">
      <c r="A18" t="s">
        <v>252</v>
      </c>
    </row>
    <row r="20" spans="1:1" x14ac:dyDescent="0.25">
      <c r="A20" t="s">
        <v>247</v>
      </c>
    </row>
    <row r="21" spans="1:1" x14ac:dyDescent="0.25">
      <c r="A21" t="s">
        <v>253</v>
      </c>
    </row>
    <row r="22" spans="1:1" x14ac:dyDescent="0.25">
      <c r="A22" t="s">
        <v>254</v>
      </c>
    </row>
    <row r="24" spans="1:1" x14ac:dyDescent="0.25">
      <c r="A24" t="s">
        <v>204</v>
      </c>
    </row>
    <row r="25" spans="1:1" x14ac:dyDescent="0.25">
      <c r="A25" t="s">
        <v>255</v>
      </c>
    </row>
    <row r="26" spans="1:1" x14ac:dyDescent="0.25">
      <c r="A26" t="s">
        <v>256</v>
      </c>
    </row>
    <row r="27" spans="1:1" x14ac:dyDescent="0.25">
      <c r="A27" t="s">
        <v>257</v>
      </c>
    </row>
    <row r="29" spans="1:1" x14ac:dyDescent="0.25">
      <c r="A29" t="s">
        <v>166</v>
      </c>
    </row>
    <row r="30" spans="1:1" x14ac:dyDescent="0.25">
      <c r="A30" t="s">
        <v>258</v>
      </c>
    </row>
    <row r="31" spans="1:1" x14ac:dyDescent="0.25">
      <c r="A31" t="s">
        <v>259</v>
      </c>
    </row>
  </sheetData>
  <pageMargins left="0.7" right="0.7" top="0.78740157499999996" bottom="0.78740157499999996" header="0.3" footer="0.3"/>
  <pageSetup paperSize="9" orientation="portrait" horizontalDpi="300" verticalDpi="300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4F853-4110-44BC-A8B2-1FD58CFC9470}">
  <dimension ref="A3:C46"/>
  <sheetViews>
    <sheetView workbookViewId="0"/>
  </sheetViews>
  <sheetFormatPr baseColWidth="10" defaultRowHeight="15" x14ac:dyDescent="0.25"/>
  <cols>
    <col min="1" max="1" width="22.7109375" bestFit="1" customWidth="1"/>
    <col min="2" max="2" width="27.28515625" bestFit="1" customWidth="1"/>
    <col min="3" max="3" width="28.28515625" bestFit="1" customWidth="1"/>
  </cols>
  <sheetData>
    <row r="3" spans="1:3" x14ac:dyDescent="0.25">
      <c r="A3" s="1" t="s">
        <v>153</v>
      </c>
      <c r="B3" t="s">
        <v>158</v>
      </c>
      <c r="C3" t="s">
        <v>164</v>
      </c>
    </row>
    <row r="4" spans="1:3" x14ac:dyDescent="0.25">
      <c r="A4" s="2" t="s">
        <v>39</v>
      </c>
      <c r="B4" s="5">
        <v>5.115384615384615</v>
      </c>
      <c r="C4" s="5">
        <v>6.0178393776923071</v>
      </c>
    </row>
    <row r="5" spans="1:3" x14ac:dyDescent="0.25">
      <c r="A5" s="3" t="s">
        <v>35</v>
      </c>
      <c r="B5" s="5">
        <v>5.6</v>
      </c>
      <c r="C5" s="5">
        <v>6.247389018999999</v>
      </c>
    </row>
    <row r="6" spans="1:3" x14ac:dyDescent="0.25">
      <c r="A6" s="3" t="s">
        <v>26</v>
      </c>
      <c r="B6" s="5">
        <v>4.2142857142857144</v>
      </c>
      <c r="C6" s="5">
        <v>6.2164081894999992</v>
      </c>
    </row>
    <row r="7" spans="1:3" x14ac:dyDescent="0.25">
      <c r="A7" s="3" t="s">
        <v>42</v>
      </c>
      <c r="B7" s="5">
        <v>6.5714285714285712</v>
      </c>
      <c r="C7" s="5">
        <v>5.4567377245714281</v>
      </c>
    </row>
    <row r="8" spans="1:3" x14ac:dyDescent="0.25">
      <c r="A8" s="2" t="s">
        <v>46</v>
      </c>
      <c r="B8" s="5">
        <v>6.5714285714285712</v>
      </c>
      <c r="C8" s="5">
        <v>5.4690979361071417</v>
      </c>
    </row>
    <row r="9" spans="1:3" x14ac:dyDescent="0.25">
      <c r="A9" s="3" t="s">
        <v>35</v>
      </c>
      <c r="B9" s="5">
        <v>7.4285714285714288</v>
      </c>
      <c r="C9" s="5">
        <v>6.3998314107142846</v>
      </c>
    </row>
    <row r="10" spans="1:3" x14ac:dyDescent="0.25">
      <c r="A10" s="3" t="s">
        <v>26</v>
      </c>
      <c r="B10" s="5">
        <v>6.333333333333333</v>
      </c>
      <c r="C10" s="5">
        <v>5.2310360279333334</v>
      </c>
    </row>
    <row r="11" spans="1:3" x14ac:dyDescent="0.25">
      <c r="A11" s="3" t="s">
        <v>42</v>
      </c>
      <c r="B11" s="5">
        <v>6.166666666666667</v>
      </c>
      <c r="C11" s="5">
        <v>4.9783969861666675</v>
      </c>
    </row>
    <row r="12" spans="1:3" x14ac:dyDescent="0.25">
      <c r="A12" s="2" t="s">
        <v>30</v>
      </c>
      <c r="B12" s="5">
        <v>4.7241379310344831</v>
      </c>
      <c r="C12" s="5">
        <v>5.5421153899999984</v>
      </c>
    </row>
    <row r="13" spans="1:3" x14ac:dyDescent="0.25">
      <c r="A13" s="3" t="s">
        <v>35</v>
      </c>
      <c r="B13" s="5">
        <v>5.1818181818181817</v>
      </c>
      <c r="C13" s="5">
        <v>5.4654595409090909</v>
      </c>
    </row>
    <row r="14" spans="1:3" x14ac:dyDescent="0.25">
      <c r="A14" s="3" t="s">
        <v>26</v>
      </c>
      <c r="B14" s="5">
        <v>4.9090909090909092</v>
      </c>
      <c r="C14" s="5">
        <v>4.9763646682727272</v>
      </c>
    </row>
    <row r="15" spans="1:3" x14ac:dyDescent="0.25">
      <c r="A15" s="3" t="s">
        <v>42</v>
      </c>
      <c r="B15" s="5">
        <v>3.7142857142857144</v>
      </c>
      <c r="C15" s="5">
        <v>6.551611429857144</v>
      </c>
    </row>
    <row r="16" spans="1:3" x14ac:dyDescent="0.25">
      <c r="A16" s="2" t="s">
        <v>55</v>
      </c>
      <c r="B16" s="5">
        <v>7.117647058823529</v>
      </c>
      <c r="C16" s="5">
        <v>4.9702938152352942</v>
      </c>
    </row>
    <row r="17" spans="1:3" x14ac:dyDescent="0.25">
      <c r="A17" s="3" t="s">
        <v>35</v>
      </c>
      <c r="B17" s="5">
        <v>7</v>
      </c>
      <c r="C17" s="5">
        <v>3.8764021375999995</v>
      </c>
    </row>
    <row r="18" spans="1:3" x14ac:dyDescent="0.25">
      <c r="A18" s="3" t="s">
        <v>26</v>
      </c>
      <c r="B18" s="5">
        <v>6.666666666666667</v>
      </c>
      <c r="C18" s="5">
        <v>5.5541177460000002</v>
      </c>
    </row>
    <row r="19" spans="1:3" x14ac:dyDescent="0.25">
      <c r="A19" s="3" t="s">
        <v>42</v>
      </c>
      <c r="B19" s="5">
        <v>7.333333333333333</v>
      </c>
      <c r="C19" s="5">
        <v>5.3834034370000001</v>
      </c>
    </row>
    <row r="20" spans="1:3" x14ac:dyDescent="0.25">
      <c r="A20" s="2" t="s">
        <v>154</v>
      </c>
      <c r="B20" s="5">
        <v>5.75</v>
      </c>
      <c r="C20" s="5">
        <v>5.5481490720000002</v>
      </c>
    </row>
    <row r="22" spans="1:3" x14ac:dyDescent="0.25">
      <c r="A22" s="3" t="s">
        <v>260</v>
      </c>
    </row>
    <row r="25" spans="1:3" x14ac:dyDescent="0.25">
      <c r="A25" t="s">
        <v>265</v>
      </c>
    </row>
    <row r="26" spans="1:3" x14ac:dyDescent="0.25">
      <c r="A26" t="s">
        <v>261</v>
      </c>
    </row>
    <row r="27" spans="1:3" x14ac:dyDescent="0.25">
      <c r="A27" t="s">
        <v>268</v>
      </c>
    </row>
    <row r="28" spans="1:3" x14ac:dyDescent="0.25">
      <c r="A28" t="s">
        <v>272</v>
      </c>
    </row>
    <row r="30" spans="1:3" x14ac:dyDescent="0.25">
      <c r="A30" t="s">
        <v>262</v>
      </c>
    </row>
    <row r="31" spans="1:3" x14ac:dyDescent="0.25">
      <c r="A31" t="s">
        <v>273</v>
      </c>
    </row>
    <row r="32" spans="1:3" x14ac:dyDescent="0.25">
      <c r="A32" t="s">
        <v>267</v>
      </c>
    </row>
    <row r="33" spans="1:1" x14ac:dyDescent="0.25">
      <c r="A33" t="s">
        <v>266</v>
      </c>
    </row>
    <row r="35" spans="1:1" x14ac:dyDescent="0.25">
      <c r="A35" t="s">
        <v>263</v>
      </c>
    </row>
    <row r="36" spans="1:1" x14ac:dyDescent="0.25">
      <c r="A36" t="s">
        <v>269</v>
      </c>
    </row>
    <row r="37" spans="1:1" x14ac:dyDescent="0.25">
      <c r="A37" t="s">
        <v>271</v>
      </c>
    </row>
    <row r="38" spans="1:1" x14ac:dyDescent="0.25">
      <c r="A38" t="s">
        <v>270</v>
      </c>
    </row>
    <row r="40" spans="1:1" x14ac:dyDescent="0.25">
      <c r="A40" t="s">
        <v>264</v>
      </c>
    </row>
    <row r="41" spans="1:1" x14ac:dyDescent="0.25">
      <c r="A41" t="s">
        <v>274</v>
      </c>
    </row>
    <row r="42" spans="1:1" x14ac:dyDescent="0.25">
      <c r="A42" t="s">
        <v>275</v>
      </c>
    </row>
    <row r="43" spans="1:1" x14ac:dyDescent="0.25">
      <c r="A43" t="s">
        <v>276</v>
      </c>
    </row>
    <row r="45" spans="1:1" x14ac:dyDescent="0.25">
      <c r="A45" t="s">
        <v>166</v>
      </c>
    </row>
    <row r="46" spans="1:1" x14ac:dyDescent="0.25">
      <c r="A46" t="s">
        <v>277</v>
      </c>
    </row>
  </sheetData>
  <pageMargins left="0.7" right="0.7" top="0.78740157499999996" bottom="0.78740157499999996" header="0.3" footer="0.3"/>
  <pageSetup paperSize="9"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A8AFD-AB1B-470E-92FC-325914EF92EF}">
  <dimension ref="A3:C21"/>
  <sheetViews>
    <sheetView workbookViewId="0"/>
  </sheetViews>
  <sheetFormatPr baseColWidth="10" defaultRowHeight="15" x14ac:dyDescent="0.25"/>
  <cols>
    <col min="1" max="1" width="22.7109375" bestFit="1" customWidth="1"/>
    <col min="2" max="2" width="32.7109375" bestFit="1" customWidth="1"/>
    <col min="3" max="3" width="29.7109375" bestFit="1" customWidth="1"/>
    <col min="4" max="4" width="25.7109375" bestFit="1" customWidth="1"/>
  </cols>
  <sheetData>
    <row r="3" spans="1:3" x14ac:dyDescent="0.25">
      <c r="A3" s="1" t="s">
        <v>153</v>
      </c>
      <c r="B3" t="s">
        <v>163</v>
      </c>
      <c r="C3" t="s">
        <v>159</v>
      </c>
    </row>
    <row r="4" spans="1:3" x14ac:dyDescent="0.25">
      <c r="A4" s="2" t="s">
        <v>38</v>
      </c>
      <c r="B4" s="5">
        <v>45.254027195407417</v>
      </c>
      <c r="C4" s="5">
        <v>12.592592592592593</v>
      </c>
    </row>
    <row r="5" spans="1:3" x14ac:dyDescent="0.25">
      <c r="A5" s="2" t="s">
        <v>60</v>
      </c>
      <c r="B5" s="5">
        <v>41.622514186545452</v>
      </c>
      <c r="C5" s="5">
        <v>15.590909090909092</v>
      </c>
    </row>
    <row r="6" spans="1:3" x14ac:dyDescent="0.25">
      <c r="A6" s="2" t="s">
        <v>27</v>
      </c>
      <c r="B6" s="5">
        <v>43.634121312666672</v>
      </c>
      <c r="C6" s="5">
        <v>14.933333333333334</v>
      </c>
    </row>
    <row r="7" spans="1:3" x14ac:dyDescent="0.25">
      <c r="A7" s="2" t="s">
        <v>51</v>
      </c>
      <c r="B7" s="5">
        <v>62.709726882222235</v>
      </c>
      <c r="C7" s="5">
        <v>15.333333333333334</v>
      </c>
    </row>
    <row r="8" spans="1:3" x14ac:dyDescent="0.25">
      <c r="A8" s="2" t="s">
        <v>43</v>
      </c>
      <c r="B8" s="5">
        <v>44.768243010722223</v>
      </c>
      <c r="C8" s="5">
        <v>16.333333333333332</v>
      </c>
    </row>
    <row r="9" spans="1:3" x14ac:dyDescent="0.25">
      <c r="A9" s="2" t="s">
        <v>154</v>
      </c>
      <c r="B9" s="5">
        <v>47.266693241429984</v>
      </c>
      <c r="C9" s="5">
        <v>14.77</v>
      </c>
    </row>
    <row r="11" spans="1:3" x14ac:dyDescent="0.25">
      <c r="A11" s="2" t="s">
        <v>278</v>
      </c>
    </row>
    <row r="13" spans="1:3" x14ac:dyDescent="0.25">
      <c r="A13" s="2" t="s">
        <v>204</v>
      </c>
    </row>
    <row r="15" spans="1:3" x14ac:dyDescent="0.25">
      <c r="A15" t="s">
        <v>280</v>
      </c>
    </row>
    <row r="16" spans="1:3" x14ac:dyDescent="0.25">
      <c r="A16" t="s">
        <v>281</v>
      </c>
    </row>
    <row r="17" spans="1:1" x14ac:dyDescent="0.25">
      <c r="A17" t="s">
        <v>282</v>
      </c>
    </row>
    <row r="18" spans="1:1" x14ac:dyDescent="0.25">
      <c r="A18" t="s">
        <v>283</v>
      </c>
    </row>
    <row r="19" spans="1:1" x14ac:dyDescent="0.25">
      <c r="A19" t="s">
        <v>284</v>
      </c>
    </row>
    <row r="21" spans="1:1" x14ac:dyDescent="0.25">
      <c r="A21" t="s">
        <v>279</v>
      </c>
    </row>
  </sheetData>
  <phoneticPr fontId="18" type="noConversion"/>
  <pageMargins left="0.7" right="0.7" top="0.78740157499999996" bottom="0.78740157499999996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ECBCD-4BBC-44C0-B4A6-5FE4C6DBBFE6}">
  <dimension ref="A3:B51"/>
  <sheetViews>
    <sheetView workbookViewId="0"/>
  </sheetViews>
  <sheetFormatPr baseColWidth="10" defaultRowHeight="15" x14ac:dyDescent="0.25"/>
  <cols>
    <col min="1" max="1" width="22.7109375" bestFit="1" customWidth="1"/>
    <col min="2" max="2" width="29.42578125" bestFit="1" customWidth="1"/>
    <col min="3" max="3" width="23.28515625" bestFit="1" customWidth="1"/>
    <col min="4" max="4" width="15.85546875" bestFit="1" customWidth="1"/>
  </cols>
  <sheetData>
    <row r="3" spans="1:2" x14ac:dyDescent="0.25">
      <c r="A3" s="1" t="s">
        <v>153</v>
      </c>
      <c r="B3" t="s">
        <v>162</v>
      </c>
    </row>
    <row r="4" spans="1:2" x14ac:dyDescent="0.25">
      <c r="A4" s="2" t="s">
        <v>38</v>
      </c>
      <c r="B4">
        <v>8379</v>
      </c>
    </row>
    <row r="5" spans="1:2" x14ac:dyDescent="0.25">
      <c r="A5" s="3" t="s">
        <v>45</v>
      </c>
      <c r="B5">
        <v>1985</v>
      </c>
    </row>
    <row r="6" spans="1:2" x14ac:dyDescent="0.25">
      <c r="A6" s="3" t="s">
        <v>63</v>
      </c>
      <c r="B6">
        <v>6394</v>
      </c>
    </row>
    <row r="7" spans="1:2" x14ac:dyDescent="0.25">
      <c r="A7" s="2" t="s">
        <v>60</v>
      </c>
      <c r="B7">
        <v>8220</v>
      </c>
    </row>
    <row r="8" spans="1:2" x14ac:dyDescent="0.25">
      <c r="A8" s="3" t="s">
        <v>45</v>
      </c>
      <c r="B8">
        <v>4925</v>
      </c>
    </row>
    <row r="9" spans="1:2" x14ac:dyDescent="0.25">
      <c r="A9" s="3" t="s">
        <v>63</v>
      </c>
      <c r="B9">
        <v>3295</v>
      </c>
    </row>
    <row r="10" spans="1:2" x14ac:dyDescent="0.25">
      <c r="A10" s="2" t="s">
        <v>27</v>
      </c>
      <c r="B10">
        <v>2443</v>
      </c>
    </row>
    <row r="11" spans="1:2" x14ac:dyDescent="0.25">
      <c r="A11" s="3" t="s">
        <v>45</v>
      </c>
      <c r="B11">
        <v>1121</v>
      </c>
    </row>
    <row r="12" spans="1:2" x14ac:dyDescent="0.25">
      <c r="A12" s="3" t="s">
        <v>63</v>
      </c>
      <c r="B12">
        <v>1322</v>
      </c>
    </row>
    <row r="13" spans="1:2" x14ac:dyDescent="0.25">
      <c r="A13" s="2" t="s">
        <v>51</v>
      </c>
      <c r="B13">
        <v>7728</v>
      </c>
    </row>
    <row r="14" spans="1:2" x14ac:dyDescent="0.25">
      <c r="A14" s="3" t="s">
        <v>45</v>
      </c>
      <c r="B14">
        <v>7728</v>
      </c>
    </row>
    <row r="15" spans="1:2" x14ac:dyDescent="0.25">
      <c r="A15" s="2" t="s">
        <v>43</v>
      </c>
      <c r="B15">
        <v>4690</v>
      </c>
    </row>
    <row r="16" spans="1:2" x14ac:dyDescent="0.25">
      <c r="A16" s="3" t="s">
        <v>45</v>
      </c>
      <c r="B16">
        <v>3094</v>
      </c>
    </row>
    <row r="17" spans="1:2" x14ac:dyDescent="0.25">
      <c r="A17" s="3" t="s">
        <v>63</v>
      </c>
      <c r="B17">
        <v>1596</v>
      </c>
    </row>
    <row r="18" spans="1:2" x14ac:dyDescent="0.25">
      <c r="A18" s="2" t="s">
        <v>154</v>
      </c>
      <c r="B18">
        <v>31460</v>
      </c>
    </row>
    <row r="20" spans="1:2" x14ac:dyDescent="0.25">
      <c r="A20" t="s">
        <v>285</v>
      </c>
    </row>
    <row r="22" spans="1:2" x14ac:dyDescent="0.25">
      <c r="A22" t="s">
        <v>204</v>
      </c>
    </row>
    <row r="23" spans="1:2" x14ac:dyDescent="0.25">
      <c r="A23" t="s">
        <v>286</v>
      </c>
    </row>
    <row r="25" spans="1:2" x14ac:dyDescent="0.25">
      <c r="A25" t="s">
        <v>287</v>
      </c>
    </row>
    <row r="27" spans="1:2" x14ac:dyDescent="0.25">
      <c r="A27" t="s">
        <v>288</v>
      </c>
    </row>
    <row r="29" spans="1:2" x14ac:dyDescent="0.25">
      <c r="A29" t="s">
        <v>289</v>
      </c>
    </row>
    <row r="31" spans="1:2" x14ac:dyDescent="0.25">
      <c r="A31" t="s">
        <v>290</v>
      </c>
    </row>
    <row r="33" spans="1:1" x14ac:dyDescent="0.25">
      <c r="A33" t="s">
        <v>291</v>
      </c>
    </row>
    <row r="35" spans="1:1" x14ac:dyDescent="0.25">
      <c r="A35" t="s">
        <v>166</v>
      </c>
    </row>
    <row r="36" spans="1:1" x14ac:dyDescent="0.25">
      <c r="A36" t="s">
        <v>292</v>
      </c>
    </row>
    <row r="38" spans="1:1" x14ac:dyDescent="0.25">
      <c r="A38" t="s">
        <v>293</v>
      </c>
    </row>
    <row r="40" spans="1:1" x14ac:dyDescent="0.25">
      <c r="A40" t="s">
        <v>294</v>
      </c>
    </row>
    <row r="42" spans="1:1" x14ac:dyDescent="0.25">
      <c r="A42" t="s">
        <v>295</v>
      </c>
    </row>
    <row r="44" spans="1:1" x14ac:dyDescent="0.25">
      <c r="A44" t="s">
        <v>296</v>
      </c>
    </row>
    <row r="46" spans="1:1" x14ac:dyDescent="0.25">
      <c r="A46" t="s">
        <v>214</v>
      </c>
    </row>
    <row r="47" spans="1:1" x14ac:dyDescent="0.25">
      <c r="A47" t="s">
        <v>297</v>
      </c>
    </row>
    <row r="49" spans="1:1" x14ac:dyDescent="0.25">
      <c r="A49" t="s">
        <v>298</v>
      </c>
    </row>
    <row r="51" spans="1:1" x14ac:dyDescent="0.25">
      <c r="A51" t="s">
        <v>299</v>
      </c>
    </row>
  </sheetData>
  <pageMargins left="0.7" right="0.7" top="0.78740157499999996" bottom="0.78740157499999996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44884-1F1A-4C34-A014-F138621B671C}">
  <dimension ref="A3:B27"/>
  <sheetViews>
    <sheetView workbookViewId="0"/>
  </sheetViews>
  <sheetFormatPr baseColWidth="10" defaultRowHeight="15" x14ac:dyDescent="0.25"/>
  <cols>
    <col min="1" max="1" width="22.7109375" bestFit="1" customWidth="1"/>
    <col min="2" max="2" width="25.7109375" bestFit="1" customWidth="1"/>
    <col min="3" max="3" width="32.7109375" bestFit="1" customWidth="1"/>
    <col min="4" max="6" width="12" bestFit="1" customWidth="1"/>
    <col min="7" max="7" width="15.85546875" bestFit="1" customWidth="1"/>
    <col min="8" max="20" width="12" bestFit="1" customWidth="1"/>
    <col min="21" max="21" width="18.42578125" bestFit="1" customWidth="1"/>
    <col min="22" max="29" width="12" bestFit="1" customWidth="1"/>
    <col min="30" max="30" width="11" bestFit="1" customWidth="1"/>
    <col min="31" max="34" width="12" bestFit="1" customWidth="1"/>
    <col min="35" max="35" width="18.42578125" bestFit="1" customWidth="1"/>
    <col min="36" max="36" width="12" bestFit="1" customWidth="1"/>
    <col min="37" max="37" width="11" bestFit="1" customWidth="1"/>
    <col min="38" max="40" width="12" bestFit="1" customWidth="1"/>
    <col min="41" max="41" width="18.42578125" bestFit="1" customWidth="1"/>
    <col min="42" max="53" width="12" bestFit="1" customWidth="1"/>
    <col min="54" max="54" width="18.42578125" bestFit="1" customWidth="1"/>
    <col min="55" max="55" width="11.85546875" bestFit="1" customWidth="1"/>
    <col min="56" max="64" width="12" bestFit="1" customWidth="1"/>
    <col min="65" max="65" width="18.42578125" bestFit="1" customWidth="1"/>
    <col min="66" max="66" width="15.85546875" bestFit="1" customWidth="1"/>
  </cols>
  <sheetData>
    <row r="3" spans="1:2" x14ac:dyDescent="0.25">
      <c r="A3" s="1" t="s">
        <v>153</v>
      </c>
      <c r="B3" t="s">
        <v>161</v>
      </c>
    </row>
    <row r="4" spans="1:2" x14ac:dyDescent="0.25">
      <c r="A4" s="2" t="s">
        <v>52</v>
      </c>
      <c r="B4" s="5">
        <v>2.0936397046111113</v>
      </c>
    </row>
    <row r="5" spans="1:2" x14ac:dyDescent="0.25">
      <c r="A5" s="2" t="s">
        <v>61</v>
      </c>
      <c r="B5" s="5">
        <v>2.6382555129499998</v>
      </c>
    </row>
    <row r="6" spans="1:2" x14ac:dyDescent="0.25">
      <c r="A6" s="2" t="s">
        <v>49</v>
      </c>
      <c r="B6" s="5">
        <v>2.2286386941333332</v>
      </c>
    </row>
    <row r="7" spans="1:2" x14ac:dyDescent="0.25">
      <c r="A7" s="2" t="s">
        <v>44</v>
      </c>
      <c r="B7" s="5">
        <v>2.2857656533599999</v>
      </c>
    </row>
    <row r="8" spans="1:2" x14ac:dyDescent="0.25">
      <c r="A8" s="2" t="s">
        <v>28</v>
      </c>
      <c r="B8" s="5">
        <v>2.1223387539090908</v>
      </c>
    </row>
    <row r="9" spans="1:2" x14ac:dyDescent="0.25">
      <c r="A9" s="2" t="s">
        <v>154</v>
      </c>
      <c r="B9" s="5">
        <v>2.2771579927399994</v>
      </c>
    </row>
    <row r="13" spans="1:2" x14ac:dyDescent="0.25">
      <c r="A13" t="s">
        <v>204</v>
      </c>
    </row>
    <row r="15" spans="1:2" x14ac:dyDescent="0.25">
      <c r="A15" t="s">
        <v>300</v>
      </c>
    </row>
    <row r="17" spans="1:1" x14ac:dyDescent="0.25">
      <c r="A17" t="s">
        <v>301</v>
      </c>
    </row>
    <row r="19" spans="1:1" x14ac:dyDescent="0.25">
      <c r="A19" t="s">
        <v>302</v>
      </c>
    </row>
    <row r="21" spans="1:1" x14ac:dyDescent="0.25">
      <c r="A21" t="s">
        <v>303</v>
      </c>
    </row>
    <row r="23" spans="1:1" x14ac:dyDescent="0.25">
      <c r="A23" t="s">
        <v>304</v>
      </c>
    </row>
    <row r="25" spans="1:1" x14ac:dyDescent="0.25">
      <c r="A25" t="s">
        <v>305</v>
      </c>
    </row>
    <row r="27" spans="1:1" x14ac:dyDescent="0.25">
      <c r="A27" t="s">
        <v>306</v>
      </c>
    </row>
  </sheetData>
  <pageMargins left="0.7" right="0.7" top="0.78740157499999996" bottom="0.78740157499999996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Leitfragen</vt:lpstr>
      <vt:lpstr>Zusammenfassung</vt:lpstr>
      <vt:lpstr>Datensatz</vt:lpstr>
      <vt:lpstr>Produkttypen-Analyse</vt:lpstr>
      <vt:lpstr>Produkttypen-Analyse2</vt:lpstr>
      <vt:lpstr>Produkttypen-Analyse3</vt:lpstr>
      <vt:lpstr>Carrier-Analyse</vt:lpstr>
      <vt:lpstr>Versand-Transport-Analyse</vt:lpstr>
      <vt:lpstr>Lieferanten-Analyse</vt:lpstr>
      <vt:lpstr>Lieferanten-Analyse2</vt:lpstr>
      <vt:lpstr>Lieferanten-Analyse3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AdkHYjhwkjkf35sV</dc:creator>
  <cp:lastModifiedBy>AdkHYjhwkjkf35sV</cp:lastModifiedBy>
  <dcterms:created xsi:type="dcterms:W3CDTF">2025-08-22T16:03:57Z</dcterms:created>
  <dcterms:modified xsi:type="dcterms:W3CDTF">2025-09-12T19:44:58Z</dcterms:modified>
</cp:coreProperties>
</file>